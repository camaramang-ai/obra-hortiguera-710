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1'!$A$59:$H$81</definedName>
  </definedNames>
  <calcPr calcId="125725"/>
</workbook>
</file>

<file path=xl/calcChain.xml><?xml version="1.0" encoding="utf-8"?>
<calcChain xmlns="http://schemas.openxmlformats.org/spreadsheetml/2006/main">
  <c r="F48" i="1"/>
  <c r="F30"/>
  <c r="M30" s="1"/>
  <c r="N24"/>
  <c r="I24"/>
  <c r="O20"/>
  <c r="P62"/>
  <c r="F8"/>
  <c r="F20"/>
  <c r="F22" l="1"/>
  <c r="M22" s="1"/>
  <c r="F24"/>
  <c r="N62"/>
  <c r="M62"/>
  <c r="L62"/>
  <c r="K62"/>
  <c r="J62"/>
  <c r="I62"/>
  <c r="H62"/>
  <c r="F56"/>
  <c r="F43"/>
  <c r="F59" l="1"/>
  <c r="F61" l="1"/>
  <c r="F63" s="1"/>
  <c r="F65" s="1"/>
  <c r="F67" l="1"/>
  <c r="F64"/>
  <c r="O62" l="1"/>
  <c r="Q62"/>
  <c r="R62"/>
</calcChain>
</file>

<file path=xl/sharedStrings.xml><?xml version="1.0" encoding="utf-8"?>
<sst xmlns="http://schemas.openxmlformats.org/spreadsheetml/2006/main" count="121" uniqueCount="104">
  <si>
    <t>GL</t>
  </si>
  <si>
    <r>
      <rPr>
        <sz val="11"/>
        <rFont val="Arial"/>
        <family val="2"/>
      </rPr>
      <t xml:space="preserve">Estudio de Arquitectura </t>
    </r>
    <r>
      <rPr>
        <b/>
        <sz val="11"/>
        <color rgb="FFFF0000"/>
        <rFont val="Arial"/>
        <family val="2"/>
      </rPr>
      <t>b2</t>
    </r>
  </si>
  <si>
    <t>Doblas 580 4 Piso Depto. A. CABA</t>
  </si>
  <si>
    <r>
      <rPr>
        <u/>
        <sz val="11"/>
        <color rgb="FF0000FF"/>
        <rFont val="Arial"/>
        <family val="2"/>
      </rPr>
      <t>      www.arquitecturab2.com.ar</t>
    </r>
  </si>
  <si>
    <t>ÍTEM</t>
  </si>
  <si>
    <t>DESIGNACIÓN</t>
  </si>
  <si>
    <t>OFERTA</t>
  </si>
  <si>
    <t>Unid.</t>
  </si>
  <si>
    <t>Cant.</t>
  </si>
  <si>
    <t>$/unit.</t>
  </si>
  <si>
    <t>Total</t>
  </si>
  <si>
    <t>A</t>
  </si>
  <si>
    <t>Gl</t>
  </si>
  <si>
    <t>Limpieza diaria de obra</t>
  </si>
  <si>
    <r>
      <rPr>
        <sz val="11"/>
        <color rgb="FFFF0000"/>
        <rFont val="Arial"/>
        <family val="2"/>
      </rPr>
      <t>Gl</t>
    </r>
  </si>
  <si>
    <t>B</t>
  </si>
  <si>
    <t>C</t>
  </si>
  <si>
    <t>D</t>
  </si>
  <si>
    <t>Cañerías de agua fria, caliente en termo fusion</t>
  </si>
  <si>
    <t>Cañerías de cloaca en polipropileno (awa duct)</t>
  </si>
  <si>
    <t>Cañerías de pluviales en polipropileno (awa duct)</t>
  </si>
  <si>
    <t>Instalación de artefactos, griferías y accesorios en baños y cocina</t>
  </si>
  <si>
    <r>
      <rPr>
        <b/>
        <sz val="11"/>
        <color rgb="FFFF0000"/>
        <rFont val="Arial"/>
        <family val="2"/>
      </rPr>
      <t>Materiales de plomería estimados</t>
    </r>
  </si>
  <si>
    <r>
      <rPr>
        <sz val="11"/>
        <color rgb="FFFF0000"/>
        <rFont val="Arial"/>
        <family val="2"/>
      </rPr>
      <t>GL</t>
    </r>
  </si>
  <si>
    <t>E</t>
  </si>
  <si>
    <t>F</t>
  </si>
  <si>
    <t>REVESTIMIENTOS, ARTEFACTOS Y GRIFERIA</t>
  </si>
  <si>
    <t>m2</t>
  </si>
  <si>
    <t>Jgo</t>
  </si>
  <si>
    <t>Griferias de baño FV Libby con accesorios</t>
  </si>
  <si>
    <t>Vanitory baños</t>
  </si>
  <si>
    <t>Bidet Ferrum Bari</t>
  </si>
  <si>
    <t>Inodoro largo Ferrum Bari con deposito y tapa</t>
  </si>
  <si>
    <t>Klaukol y pastina</t>
  </si>
  <si>
    <t>PINTURA</t>
  </si>
  <si>
    <t>Preparación muros, cielorrasos y carpinterias</t>
  </si>
  <si>
    <t>Cielorrasos látex Alba acrílico interior.</t>
  </si>
  <si>
    <t>Paredes en latex Alba acrilico imterior</t>
  </si>
  <si>
    <t>TOTAL COSTO OBRA</t>
  </si>
  <si>
    <t xml:space="preserve">                   PRESUPUESTO - PLAN DE PAGOS </t>
  </si>
  <si>
    <t>Ayuda de gremios electricidad, plomería y herreria.</t>
  </si>
  <si>
    <t>Los montos de materiales e indicados en rojo son estimados.</t>
  </si>
  <si>
    <t>*</t>
  </si>
  <si>
    <t>U$S / M2</t>
  </si>
  <si>
    <t>No incluye:</t>
  </si>
  <si>
    <t>MANO DE OBRA ALBAÑILERIA</t>
  </si>
  <si>
    <t>El presente plan de pagos es estimado, puede modificarse en fechas y montos aplicados según</t>
  </si>
  <si>
    <t>indice CAC que se aplicara en forma mensual.</t>
  </si>
  <si>
    <t>PAGO 4</t>
  </si>
  <si>
    <t xml:space="preserve"> PAGO 6</t>
  </si>
  <si>
    <t>Limpieza fina, final de obra</t>
  </si>
  <si>
    <t>Cortinas, espejos y mamparas de baño</t>
  </si>
  <si>
    <t xml:space="preserve">Materiales de Corralón </t>
  </si>
  <si>
    <t xml:space="preserve"> PAGO 1 </t>
  </si>
  <si>
    <t xml:space="preserve"> PAGO 2</t>
  </si>
  <si>
    <t>PAGO 3</t>
  </si>
  <si>
    <t xml:space="preserve"> PAGO 5</t>
  </si>
  <si>
    <t>PAGO 7</t>
  </si>
  <si>
    <t xml:space="preserve"> PAGO 8</t>
  </si>
  <si>
    <t xml:space="preserve">INSTALACION DE CALEFACCION </t>
  </si>
  <si>
    <t>$ / M2</t>
  </si>
  <si>
    <t>Rubros grisados a abonar por el cliente (no incluidos en plan de pagos quincenal)</t>
  </si>
  <si>
    <t>OBRA: REFACCION CASA HORTIGUERA 710 1ER PISO - CABA</t>
  </si>
  <si>
    <t>El plazo de obra se estima en 3 meses desde la fecha de inicio de obra.</t>
  </si>
  <si>
    <t>Tramite municipal</t>
  </si>
  <si>
    <t xml:space="preserve">Instalacion de aire acondicionado </t>
  </si>
  <si>
    <t xml:space="preserve">Instalacion electrica </t>
  </si>
  <si>
    <t xml:space="preserve">Instalacion de alarma y camaras </t>
  </si>
  <si>
    <t xml:space="preserve">Colocación de revestimientos de pisos y paredes en baños </t>
  </si>
  <si>
    <t>Volquete</t>
  </si>
  <si>
    <t>PLOMERIA</t>
  </si>
  <si>
    <t>PULIDO Y PLASTIFICADO</t>
  </si>
  <si>
    <t>Reparacion de living comedor, partes flojas y cambio maderas en mal estado</t>
  </si>
  <si>
    <t>Pulido y plastificado de la totalidad de los pisos de madera</t>
  </si>
  <si>
    <t>Pulido y plastificado de la escalera de madera</t>
  </si>
  <si>
    <t>Revoques interiores y exteriores en mal estado</t>
  </si>
  <si>
    <t>Reparaciones cornisas y ornamentos flojos del frente</t>
  </si>
  <si>
    <t>Contrapisos y carpetas en baños</t>
  </si>
  <si>
    <t>Mamposteria en baño del 1er piso</t>
  </si>
  <si>
    <t>Revoques en baños</t>
  </si>
  <si>
    <t>Reparaciones varias en azotea y pluviales</t>
  </si>
  <si>
    <t>Demolicion de revestimientos, muro para ventana comedor y muro divisorio de baños del 1er piso</t>
  </si>
  <si>
    <t>Retiro, adecuadion de puertas y ventanas de suite según proyecto</t>
  </si>
  <si>
    <t>Carpinterias exteriores en esmalte sintetico satinado o barniz según corresponda</t>
  </si>
  <si>
    <t>Carpinterías. Puertas interiores en esmalte sintético satinado o barniz según corresponda</t>
  </si>
  <si>
    <t>Exteriores y frente en 1er piso</t>
  </si>
  <si>
    <t>Materiales pintura estimados (incluye membrana liquida)</t>
  </si>
  <si>
    <t>HONORARIOS PROYECTO, DIRECCIÓN DE OBRA, SEGUROS E IMPUESTOS 10 % (bonificacion 8 %)</t>
  </si>
  <si>
    <t>Instalación de piletas, griferías.</t>
  </si>
  <si>
    <t>Service de instalacion actual, corrimiento radiador y colocacion nuevo toallero en baño suite y radiador en 1er p</t>
  </si>
  <si>
    <t>(no incluye material y radiadores nuevos)</t>
  </si>
  <si>
    <t xml:space="preserve">Revestimientos de pared en baños </t>
  </si>
  <si>
    <t xml:space="preserve">Revestimientos de pisos en baños </t>
  </si>
  <si>
    <t>Membrana liquida en techos</t>
  </si>
  <si>
    <t>U$S</t>
  </si>
  <si>
    <t>Carpinterias</t>
  </si>
  <si>
    <t>Mesadas y muebles de cocina</t>
  </si>
  <si>
    <t>168 M2</t>
  </si>
  <si>
    <t>Alisado de cemento paredes revestidas cocina y baño contiguo al comedor diario</t>
  </si>
  <si>
    <t xml:space="preserve"> PAGO 9</t>
  </si>
  <si>
    <t xml:space="preserve"> PAGO 10</t>
  </si>
  <si>
    <t xml:space="preserve"> PAGO 11</t>
  </si>
  <si>
    <t>Pinotea de reposicion</t>
  </si>
  <si>
    <t>BUENOS AIRES 26 DE MAYO DE 2026</t>
  </si>
</sst>
</file>

<file path=xl/styles.xml><?xml version="1.0" encoding="utf-8"?>
<styleSheet xmlns="http://schemas.openxmlformats.org/spreadsheetml/2006/main">
  <numFmts count="5">
    <numFmt numFmtId="44" formatCode="_ &quot;$&quot;\ * #,##0.00_ ;_ &quot;$&quot;\ * \-#,##0.00_ ;_ &quot;$&quot;\ * &quot;-&quot;??_ ;_ @_ "/>
    <numFmt numFmtId="164" formatCode="\$\ #,##0.00"/>
    <numFmt numFmtId="165" formatCode="0.00;[Red]0.00"/>
    <numFmt numFmtId="166" formatCode="\$\ #,##0.00;[Red]\$\ #,##0.00"/>
    <numFmt numFmtId="167" formatCode="_-&quot;$&quot;* #,##0.00_-;\-&quot;$&quot;* #,##0.00_-;_-&quot;$&quot;* &quot;-&quot;??_-;_-@_-"/>
  </numFmts>
  <fonts count="13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3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center"/>
    </xf>
    <xf numFmtId="16" fontId="5" fillId="3" borderId="10" xfId="0" applyNumberFormat="1" applyFont="1" applyFill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7" fontId="4" fillId="4" borderId="12" xfId="1" applyNumberFormat="1" applyFont="1" applyFill="1" applyBorder="1" applyAlignment="1">
      <alignment horizontal="center"/>
    </xf>
    <xf numFmtId="167" fontId="6" fillId="4" borderId="12" xfId="1" applyNumberFormat="1" applyFont="1" applyFill="1" applyBorder="1" applyAlignment="1">
      <alignment horizontal="center"/>
    </xf>
    <xf numFmtId="167" fontId="4" fillId="4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30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indent="27"/>
    </xf>
    <xf numFmtId="0" fontId="4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/>
    </xf>
    <xf numFmtId="2" fontId="10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right" vertical="top" wrapText="1" indent="2"/>
    </xf>
    <xf numFmtId="0" fontId="2" fillId="0" borderId="2" xfId="0" applyFont="1" applyFill="1" applyBorder="1" applyAlignment="1">
      <alignment horizontal="left" vertical="center" wrapText="1"/>
    </xf>
    <xf numFmtId="164" fontId="11" fillId="0" borderId="2" xfId="0" applyNumberFormat="1" applyFont="1" applyFill="1" applyBorder="1" applyAlignment="1">
      <alignment horizontal="right" vertical="top" shrinkToFit="1"/>
    </xf>
    <xf numFmtId="165" fontId="7" fillId="0" borderId="2" xfId="0" applyNumberFormat="1" applyFont="1" applyFill="1" applyBorder="1" applyAlignment="1">
      <alignment horizontal="right" vertical="top" shrinkToFit="1"/>
    </xf>
    <xf numFmtId="166" fontId="8" fillId="0" borderId="2" xfId="0" applyNumberFormat="1" applyFont="1" applyFill="1" applyBorder="1" applyAlignment="1">
      <alignment horizontal="right" vertical="top" shrinkToFit="1"/>
    </xf>
    <xf numFmtId="2" fontId="10" fillId="0" borderId="4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center" vertical="top" wrapText="1"/>
    </xf>
    <xf numFmtId="44" fontId="2" fillId="0" borderId="0" xfId="0" applyNumberFormat="1" applyFont="1" applyFill="1" applyBorder="1" applyAlignment="1">
      <alignment horizontal="left" vertical="top"/>
    </xf>
    <xf numFmtId="167" fontId="5" fillId="4" borderId="12" xfId="1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167" fontId="6" fillId="2" borderId="12" xfId="1" applyNumberFormat="1" applyFont="1" applyFill="1" applyBorder="1" applyAlignment="1">
      <alignment horizontal="center"/>
    </xf>
    <xf numFmtId="167" fontId="4" fillId="2" borderId="12" xfId="1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2" fontId="10" fillId="2" borderId="2" xfId="0" applyNumberFormat="1" applyFont="1" applyFill="1" applyBorder="1" applyAlignment="1">
      <alignment horizontal="right" vertical="top" shrinkToFi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horizontal="right" vertical="top" wrapText="1" indent="1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2" fontId="10" fillId="4" borderId="2" xfId="0" applyNumberFormat="1" applyFont="1" applyFill="1" applyBorder="1" applyAlignment="1">
      <alignment horizontal="right" vertical="top" shrinkToFit="1"/>
    </xf>
    <xf numFmtId="0" fontId="4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left" vertical="top"/>
    </xf>
    <xf numFmtId="44" fontId="4" fillId="4" borderId="12" xfId="1" applyFont="1" applyFill="1" applyBorder="1" applyAlignment="1">
      <alignment horizontal="center"/>
    </xf>
    <xf numFmtId="44" fontId="4" fillId="0" borderId="12" xfId="1" applyFont="1" applyBorder="1" applyAlignment="1">
      <alignment horizontal="center"/>
    </xf>
    <xf numFmtId="44" fontId="5" fillId="4" borderId="12" xfId="1" applyFont="1" applyFill="1" applyBorder="1" applyAlignment="1">
      <alignment horizontal="center"/>
    </xf>
    <xf numFmtId="44" fontId="5" fillId="0" borderId="12" xfId="1" applyFont="1" applyBorder="1" applyAlignment="1">
      <alignment horizontal="center"/>
    </xf>
    <xf numFmtId="44" fontId="5" fillId="3" borderId="12" xfId="1" applyFont="1" applyFill="1" applyBorder="1" applyAlignment="1">
      <alignment horizontal="center"/>
    </xf>
    <xf numFmtId="44" fontId="10" fillId="0" borderId="12" xfId="1" applyFont="1" applyFill="1" applyBorder="1" applyAlignment="1">
      <alignment horizontal="left" vertical="top"/>
    </xf>
    <xf numFmtId="44" fontId="10" fillId="0" borderId="0" xfId="1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top" wrapText="1" indent="6"/>
    </xf>
    <xf numFmtId="0" fontId="4" fillId="0" borderId="0" xfId="0" applyFont="1" applyFill="1" applyBorder="1" applyAlignment="1">
      <alignment horizontal="right" vertical="top" wrapText="1" indent="2"/>
    </xf>
    <xf numFmtId="0" fontId="8" fillId="0" borderId="8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10" fillId="4" borderId="0" xfId="0" applyFont="1" applyFill="1" applyBorder="1" applyAlignment="1">
      <alignment horizontal="left" wrapText="1"/>
    </xf>
    <xf numFmtId="164" fontId="11" fillId="4" borderId="0" xfId="0" applyNumberFormat="1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165" fontId="7" fillId="0" borderId="3" xfId="0" applyNumberFormat="1" applyFont="1" applyFill="1" applyBorder="1" applyAlignment="1">
      <alignment horizontal="left" vertical="top" indent="2" shrinkToFit="1"/>
    </xf>
    <xf numFmtId="0" fontId="4" fillId="0" borderId="3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6" fontId="3" fillId="4" borderId="0" xfId="0" applyNumberFormat="1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164" fontId="3" fillId="4" borderId="0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left" vertical="center" wrapText="1"/>
    </xf>
    <xf numFmtId="2" fontId="7" fillId="2" borderId="2" xfId="0" applyNumberFormat="1" applyFont="1" applyFill="1" applyBorder="1" applyAlignment="1">
      <alignment horizontal="right" vertical="top" shrinkToFit="1"/>
    </xf>
    <xf numFmtId="0" fontId="7" fillId="2" borderId="2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vertical="top" wrapText="1"/>
    </xf>
    <xf numFmtId="44" fontId="11" fillId="0" borderId="2" xfId="1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top" wrapText="1"/>
    </xf>
    <xf numFmtId="167" fontId="10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 wrapText="1"/>
    </xf>
    <xf numFmtId="164" fontId="11" fillId="0" borderId="0" xfId="0" applyNumberFormat="1" applyFont="1" applyFill="1" applyBorder="1" applyAlignment="1">
      <alignment horizontal="right" vertical="top" shrinkToFit="1"/>
    </xf>
    <xf numFmtId="4" fontId="2" fillId="0" borderId="0" xfId="0" applyNumberFormat="1" applyFont="1" applyFill="1" applyBorder="1" applyAlignment="1">
      <alignment horizontal="left" vertical="center" wrapText="1"/>
    </xf>
    <xf numFmtId="44" fontId="11" fillId="0" borderId="0" xfId="1" applyFont="1" applyFill="1" applyBorder="1" applyAlignment="1">
      <alignment horizontal="left" vertical="center" wrapText="1"/>
    </xf>
    <xf numFmtId="166" fontId="8" fillId="0" borderId="0" xfId="0" applyNumberFormat="1" applyFont="1" applyFill="1" applyBorder="1" applyAlignment="1">
      <alignment horizontal="right" vertical="top" shrinkToFit="1"/>
    </xf>
    <xf numFmtId="166" fontId="5" fillId="0" borderId="0" xfId="0" applyNumberFormat="1" applyFont="1" applyFill="1" applyBorder="1" applyAlignment="1">
      <alignment horizontal="right" vertical="top" shrinkToFit="1"/>
    </xf>
    <xf numFmtId="44" fontId="11" fillId="4" borderId="0" xfId="1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right" vertical="top" shrinkToFit="1"/>
    </xf>
    <xf numFmtId="0" fontId="2" fillId="2" borderId="0" xfId="0" applyFont="1" applyFill="1" applyBorder="1" applyAlignment="1">
      <alignment horizontal="left" vertical="center" wrapText="1"/>
    </xf>
    <xf numFmtId="164" fontId="11" fillId="4" borderId="0" xfId="0" applyNumberFormat="1" applyFont="1" applyFill="1" applyBorder="1" applyAlignment="1">
      <alignment horizontal="right" vertical="top" shrinkToFit="1"/>
    </xf>
    <xf numFmtId="164" fontId="11" fillId="0" borderId="0" xfId="0" applyNumberFormat="1" applyFont="1" applyFill="1" applyBorder="1" applyAlignment="1">
      <alignment horizontal="right" vertical="center" shrinkToFit="1"/>
    </xf>
    <xf numFmtId="44" fontId="10" fillId="0" borderId="0" xfId="0" applyNumberFormat="1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165" fontId="7" fillId="0" borderId="0" xfId="0" applyNumberFormat="1" applyFont="1" applyFill="1" applyBorder="1" applyAlignment="1">
      <alignment horizontal="left" vertical="top" indent="2" shrinkToFit="1"/>
    </xf>
    <xf numFmtId="166" fontId="8" fillId="0" borderId="0" xfId="0" applyNumberFormat="1" applyFont="1" applyFill="1" applyBorder="1" applyAlignment="1">
      <alignment horizontal="center" vertical="top" shrinkToFi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top" wrapText="1"/>
    </xf>
    <xf numFmtId="44" fontId="10" fillId="0" borderId="12" xfId="1" applyFont="1" applyFill="1" applyBorder="1" applyAlignment="1">
      <alignment horizontal="center" vertical="top"/>
    </xf>
    <xf numFmtId="0" fontId="0" fillId="4" borderId="0" xfId="0" applyFill="1" applyBorder="1" applyAlignment="1">
      <alignment horizontal="left" vertical="top"/>
    </xf>
    <xf numFmtId="167" fontId="4" fillId="4" borderId="11" xfId="1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top"/>
    </xf>
    <xf numFmtId="44" fontId="11" fillId="4" borderId="0" xfId="1" applyFont="1" applyFill="1" applyBorder="1" applyAlignment="1">
      <alignment horizontal="left" vertical="top"/>
    </xf>
    <xf numFmtId="44" fontId="11" fillId="4" borderId="0" xfId="0" applyNumberFormat="1" applyFont="1" applyFill="1" applyBorder="1" applyAlignment="1">
      <alignment horizontal="left" vertical="top"/>
    </xf>
    <xf numFmtId="0" fontId="11" fillId="4" borderId="0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 wrapText="1"/>
    </xf>
    <xf numFmtId="44" fontId="5" fillId="0" borderId="2" xfId="1" applyFont="1" applyFill="1" applyBorder="1" applyAlignment="1">
      <alignment horizontal="right" vertical="top" shrinkToFit="1"/>
    </xf>
    <xf numFmtId="44" fontId="10" fillId="0" borderId="2" xfId="1" applyFont="1" applyFill="1" applyBorder="1" applyAlignment="1">
      <alignment horizontal="left" vertical="center" wrapText="1"/>
    </xf>
    <xf numFmtId="44" fontId="8" fillId="2" borderId="2" xfId="1" applyFont="1" applyFill="1" applyBorder="1" applyAlignment="1">
      <alignment horizontal="right" vertical="top" shrinkToFit="1"/>
    </xf>
    <xf numFmtId="44" fontId="10" fillId="2" borderId="2" xfId="1" applyFont="1" applyFill="1" applyBorder="1" applyAlignment="1">
      <alignment horizontal="left" vertical="center" wrapText="1"/>
    </xf>
    <xf numFmtId="44" fontId="11" fillId="4" borderId="2" xfId="1" applyFont="1" applyFill="1" applyBorder="1" applyAlignment="1">
      <alignment horizontal="right" vertical="top" shrinkToFit="1"/>
    </xf>
    <xf numFmtId="44" fontId="10" fillId="4" borderId="2" xfId="1" applyFont="1" applyFill="1" applyBorder="1" applyAlignment="1">
      <alignment horizontal="left" vertical="center" wrapText="1"/>
    </xf>
    <xf numFmtId="44" fontId="8" fillId="0" borderId="3" xfId="1" applyFont="1" applyFill="1" applyBorder="1" applyAlignment="1">
      <alignment horizontal="right" vertical="top" shrinkToFit="1"/>
    </xf>
    <xf numFmtId="44" fontId="5" fillId="0" borderId="12" xfId="1" applyFont="1" applyFill="1" applyBorder="1" applyAlignment="1">
      <alignment horizontal="center" vertical="top" shrinkToFit="1"/>
    </xf>
    <xf numFmtId="44" fontId="8" fillId="0" borderId="0" xfId="1" applyFont="1" applyFill="1" applyBorder="1" applyAlignment="1">
      <alignment horizontal="right" vertical="top" shrinkToFit="1"/>
    </xf>
    <xf numFmtId="44" fontId="11" fillId="0" borderId="14" xfId="1" applyFont="1" applyFill="1" applyBorder="1" applyAlignment="1">
      <alignment horizontal="right" vertical="center" shrinkToFit="1"/>
    </xf>
    <xf numFmtId="44" fontId="10" fillId="0" borderId="0" xfId="1" applyFont="1" applyFill="1" applyBorder="1" applyAlignment="1">
      <alignment horizontal="left" wrapText="1"/>
    </xf>
    <xf numFmtId="44" fontId="11" fillId="0" borderId="14" xfId="1" applyFont="1" applyFill="1" applyBorder="1" applyAlignment="1">
      <alignment horizontal="right" vertical="top" shrinkToFit="1"/>
    </xf>
    <xf numFmtId="44" fontId="10" fillId="0" borderId="18" xfId="1" applyFont="1" applyFill="1" applyBorder="1" applyAlignment="1">
      <alignment horizontal="left" vertical="top"/>
    </xf>
    <xf numFmtId="44" fontId="10" fillId="4" borderId="0" xfId="1" applyFont="1" applyFill="1" applyBorder="1" applyAlignment="1">
      <alignment horizontal="left" vertical="top"/>
    </xf>
    <xf numFmtId="2" fontId="11" fillId="0" borderId="2" xfId="0" applyNumberFormat="1" applyFont="1" applyFill="1" applyBorder="1" applyAlignment="1">
      <alignment horizontal="right" vertical="top" shrinkToFit="1"/>
    </xf>
    <xf numFmtId="0" fontId="5" fillId="0" borderId="2" xfId="0" applyFont="1" applyFill="1" applyBorder="1" applyAlignment="1">
      <alignment horizontal="right" vertical="top" wrapText="1" indent="2"/>
    </xf>
    <xf numFmtId="0" fontId="10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 wrapText="1"/>
    </xf>
    <xf numFmtId="44" fontId="10" fillId="0" borderId="3" xfId="1" applyFont="1" applyFill="1" applyBorder="1" applyAlignment="1">
      <alignment horizontal="left" vertical="center" wrapText="1"/>
    </xf>
    <xf numFmtId="16" fontId="5" fillId="3" borderId="0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44" fontId="10" fillId="4" borderId="0" xfId="1" applyFont="1" applyFill="1" applyBorder="1" applyAlignment="1">
      <alignment horizontal="center" wrapText="1"/>
    </xf>
    <xf numFmtId="44" fontId="10" fillId="4" borderId="0" xfId="1" applyFont="1" applyFill="1" applyBorder="1" applyAlignment="1">
      <alignment horizontal="left" wrapText="1"/>
    </xf>
    <xf numFmtId="167" fontId="5" fillId="3" borderId="10" xfId="0" applyNumberFormat="1" applyFont="1" applyFill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167" fontId="4" fillId="4" borderId="9" xfId="1" applyNumberFormat="1" applyFont="1" applyFill="1" applyBorder="1" applyAlignment="1">
      <alignment horizontal="center"/>
    </xf>
    <xf numFmtId="44" fontId="10" fillId="0" borderId="12" xfId="1" applyFont="1" applyFill="1" applyBorder="1" applyAlignment="1">
      <alignment horizontal="center" vertical="center" wrapText="1"/>
    </xf>
    <xf numFmtId="44" fontId="10" fillId="0" borderId="17" xfId="1" applyFont="1" applyFill="1" applyBorder="1" applyAlignment="1">
      <alignment horizontal="left" vertical="top"/>
    </xf>
    <xf numFmtId="44" fontId="4" fillId="4" borderId="0" xfId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center" wrapText="1"/>
    </xf>
    <xf numFmtId="44" fontId="10" fillId="0" borderId="0" xfId="1" applyFont="1" applyFill="1" applyBorder="1" applyAlignment="1">
      <alignment horizontal="left" vertical="center" wrapText="1"/>
    </xf>
    <xf numFmtId="44" fontId="12" fillId="0" borderId="0" xfId="1" applyFont="1" applyFill="1" applyBorder="1" applyAlignment="1">
      <alignment horizontal="left" vertical="top"/>
    </xf>
    <xf numFmtId="44" fontId="10" fillId="0" borderId="4" xfId="1" applyFont="1" applyFill="1" applyBorder="1" applyAlignment="1">
      <alignment horizontal="left" wrapText="1"/>
    </xf>
    <xf numFmtId="44" fontId="10" fillId="0" borderId="16" xfId="1" applyFont="1" applyFill="1" applyBorder="1" applyAlignment="1">
      <alignment horizontal="left" vertical="center" wrapText="1"/>
    </xf>
    <xf numFmtId="44" fontId="11" fillId="4" borderId="0" xfId="1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 wrapText="1" indent="6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170661</xdr:colOff>
      <xdr:row>0</xdr:row>
      <xdr:rowOff>68983</xdr:rowOff>
    </xdr:from>
    <xdr:ext cx="670370" cy="773883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0370" cy="7738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rquitecturab2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98"/>
  <sheetViews>
    <sheetView tabSelected="1" zoomScaleNormal="100" workbookViewId="0">
      <selection activeCell="D41" sqref="D41"/>
    </sheetView>
  </sheetViews>
  <sheetFormatPr baseColWidth="10" defaultColWidth="12" defaultRowHeight="12.75"/>
  <cols>
    <col min="1" max="1" width="9.5" customWidth="1"/>
    <col min="2" max="2" width="121.1640625" customWidth="1"/>
    <col min="3" max="3" width="8.1640625" customWidth="1"/>
    <col min="4" max="4" width="13.83203125" customWidth="1"/>
    <col min="5" max="6" width="27" customWidth="1"/>
    <col min="7" max="7" width="9.33203125"/>
    <col min="8" max="31" width="21.83203125" customWidth="1"/>
    <col min="32" max="32" width="21.6640625" customWidth="1"/>
  </cols>
  <sheetData>
    <row r="1" spans="1:18" ht="15" customHeight="1">
      <c r="A1" s="9"/>
      <c r="B1" s="10" t="s">
        <v>103</v>
      </c>
      <c r="C1" s="9"/>
      <c r="D1" s="9"/>
      <c r="E1" s="9"/>
      <c r="F1" s="9"/>
      <c r="G1" s="9"/>
      <c r="H1" s="1"/>
      <c r="I1" s="1"/>
      <c r="J1" s="1"/>
      <c r="K1" s="1"/>
      <c r="L1" s="1"/>
      <c r="M1" s="1"/>
      <c r="N1" s="1"/>
      <c r="O1" s="1"/>
    </row>
    <row r="2" spans="1:18" ht="15" customHeight="1">
      <c r="A2" s="143" t="s">
        <v>1</v>
      </c>
      <c r="B2" s="143"/>
      <c r="C2" s="143"/>
      <c r="D2" s="143"/>
      <c r="E2" s="143"/>
      <c r="F2" s="143"/>
      <c r="G2" s="52"/>
      <c r="H2" s="1"/>
      <c r="I2" s="1"/>
      <c r="J2" s="1"/>
      <c r="K2" s="1"/>
      <c r="L2" s="1"/>
      <c r="M2" s="1"/>
      <c r="N2" s="1"/>
      <c r="O2" s="1"/>
    </row>
    <row r="3" spans="1:18" ht="15" customHeight="1">
      <c r="A3" s="9"/>
      <c r="B3" s="11" t="s">
        <v>39</v>
      </c>
      <c r="C3" s="9"/>
      <c r="D3" s="9"/>
      <c r="E3" s="9"/>
      <c r="F3" s="9"/>
      <c r="G3" s="9"/>
      <c r="H3" s="1"/>
      <c r="I3" s="1"/>
      <c r="J3" s="1"/>
      <c r="K3" s="1"/>
      <c r="L3" s="1"/>
      <c r="M3" s="1"/>
      <c r="N3" s="1"/>
      <c r="O3" s="1"/>
    </row>
    <row r="4" spans="1:18" ht="15" customHeight="1">
      <c r="A4" s="144" t="s">
        <v>2</v>
      </c>
      <c r="B4" s="144"/>
      <c r="C4" s="144"/>
      <c r="D4" s="144"/>
      <c r="E4" s="144"/>
      <c r="F4" s="144"/>
      <c r="G4" s="53"/>
      <c r="H4" s="1"/>
      <c r="I4" s="1"/>
      <c r="J4" s="1"/>
      <c r="K4" s="1"/>
      <c r="L4" s="1"/>
      <c r="M4" s="1"/>
      <c r="N4" s="1"/>
      <c r="O4" s="1"/>
    </row>
    <row r="5" spans="1:18" ht="15" customHeight="1" thickBot="1">
      <c r="A5" s="12"/>
      <c r="B5" s="13" t="s">
        <v>62</v>
      </c>
      <c r="C5" s="12"/>
      <c r="D5" s="12"/>
      <c r="E5" s="145" t="s">
        <v>3</v>
      </c>
      <c r="F5" s="145"/>
      <c r="G5" s="10"/>
      <c r="H5" s="1"/>
      <c r="I5" s="1"/>
      <c r="J5" s="25"/>
      <c r="K5" s="1"/>
      <c r="L5" s="25"/>
      <c r="M5" s="1"/>
      <c r="N5" s="43"/>
      <c r="O5" s="1"/>
    </row>
    <row r="6" spans="1:18" ht="15" customHeight="1">
      <c r="A6" s="146" t="s">
        <v>4</v>
      </c>
      <c r="B6" s="148" t="s">
        <v>5</v>
      </c>
      <c r="C6" s="150" t="s">
        <v>6</v>
      </c>
      <c r="D6" s="151"/>
      <c r="E6" s="151"/>
      <c r="F6" s="152"/>
      <c r="G6" s="80"/>
      <c r="H6" s="2" t="s">
        <v>53</v>
      </c>
      <c r="I6" s="2" t="s">
        <v>54</v>
      </c>
      <c r="J6" s="2" t="s">
        <v>55</v>
      </c>
      <c r="K6" s="2" t="s">
        <v>48</v>
      </c>
      <c r="L6" s="2" t="s">
        <v>56</v>
      </c>
      <c r="M6" s="2" t="s">
        <v>49</v>
      </c>
      <c r="N6" s="2" t="s">
        <v>57</v>
      </c>
      <c r="O6" s="2" t="s">
        <v>58</v>
      </c>
      <c r="P6" s="2" t="s">
        <v>99</v>
      </c>
      <c r="Q6" s="2" t="s">
        <v>100</v>
      </c>
      <c r="R6" s="2" t="s">
        <v>101</v>
      </c>
    </row>
    <row r="7" spans="1:18" ht="15" customHeight="1" thickBot="1">
      <c r="A7" s="147"/>
      <c r="B7" s="149"/>
      <c r="C7" s="14" t="s">
        <v>7</v>
      </c>
      <c r="D7" s="14" t="s">
        <v>8</v>
      </c>
      <c r="E7" s="14" t="s">
        <v>9</v>
      </c>
      <c r="F7" s="14" t="s">
        <v>10</v>
      </c>
      <c r="G7" s="10"/>
      <c r="H7" s="3"/>
      <c r="I7" s="3"/>
      <c r="J7" s="4"/>
      <c r="K7" s="4"/>
      <c r="L7" s="4"/>
      <c r="M7" s="4"/>
      <c r="N7" s="4"/>
      <c r="O7" s="4"/>
      <c r="P7" s="4"/>
      <c r="Q7" s="4"/>
      <c r="R7" s="4"/>
    </row>
    <row r="8" spans="1:18" ht="15" customHeight="1">
      <c r="A8" s="15" t="s">
        <v>11</v>
      </c>
      <c r="B8" s="16" t="s">
        <v>45</v>
      </c>
      <c r="C8" s="17">
        <v>1</v>
      </c>
      <c r="D8" s="24" t="s">
        <v>12</v>
      </c>
      <c r="E8" s="106"/>
      <c r="F8" s="20">
        <f>+(1400000*9)</f>
        <v>12600000</v>
      </c>
      <c r="G8" s="81"/>
      <c r="H8" s="99">
        <v>1400000</v>
      </c>
      <c r="I8" s="99">
        <v>1400000</v>
      </c>
      <c r="J8" s="99">
        <v>1400000</v>
      </c>
      <c r="K8" s="99">
        <v>1400000</v>
      </c>
      <c r="L8" s="99">
        <v>1400000</v>
      </c>
      <c r="M8" s="99">
        <v>1400000</v>
      </c>
      <c r="N8" s="99">
        <v>1400000</v>
      </c>
      <c r="O8" s="99">
        <v>1400000</v>
      </c>
      <c r="P8" s="99">
        <v>1400000</v>
      </c>
      <c r="Q8" s="99"/>
      <c r="R8" s="99"/>
    </row>
    <row r="9" spans="1:18" ht="15" customHeight="1">
      <c r="A9" s="15"/>
      <c r="B9" s="14" t="s">
        <v>81</v>
      </c>
      <c r="C9" s="17"/>
      <c r="D9" s="18"/>
      <c r="E9" s="106"/>
      <c r="F9" s="20"/>
      <c r="G9" s="81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 spans="1:18" ht="15" customHeight="1">
      <c r="A10" s="15"/>
      <c r="B10" s="14" t="s">
        <v>82</v>
      </c>
      <c r="C10" s="17"/>
      <c r="D10" s="18"/>
      <c r="E10" s="106"/>
      <c r="F10" s="20"/>
      <c r="G10" s="81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 spans="1:18" ht="15" customHeight="1">
      <c r="A11" s="15"/>
      <c r="B11" s="14" t="s">
        <v>78</v>
      </c>
      <c r="C11" s="119"/>
      <c r="D11" s="120"/>
      <c r="E11" s="77"/>
      <c r="F11" s="20"/>
      <c r="G11" s="81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</row>
    <row r="12" spans="1:18" ht="15" customHeight="1">
      <c r="A12" s="15"/>
      <c r="B12" s="14" t="s">
        <v>79</v>
      </c>
      <c r="C12" s="119"/>
      <c r="D12" s="120"/>
      <c r="E12" s="77"/>
      <c r="F12" s="20"/>
      <c r="G12" s="81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</row>
    <row r="13" spans="1:18" ht="15" customHeight="1">
      <c r="A13" s="19"/>
      <c r="B13" s="14" t="s">
        <v>75</v>
      </c>
      <c r="C13" s="19"/>
      <c r="D13" s="19"/>
      <c r="E13" s="106"/>
      <c r="F13" s="73"/>
      <c r="G13" s="8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" customHeight="1">
      <c r="A14" s="19"/>
      <c r="B14" s="14" t="s">
        <v>76</v>
      </c>
      <c r="C14" s="19"/>
      <c r="D14" s="19"/>
      <c r="E14" s="106"/>
      <c r="F14" s="73"/>
      <c r="G14" s="8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" customHeight="1">
      <c r="A15" s="19"/>
      <c r="B15" s="14" t="s">
        <v>77</v>
      </c>
      <c r="C15" s="19"/>
      <c r="D15" s="19"/>
      <c r="E15" s="106"/>
      <c r="F15" s="19"/>
      <c r="G15" s="6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15" customHeight="1">
      <c r="A16" s="19"/>
      <c r="B16" s="14" t="s">
        <v>68</v>
      </c>
      <c r="C16" s="19"/>
      <c r="D16" s="19"/>
      <c r="E16" s="106"/>
      <c r="F16" s="19"/>
      <c r="G16" s="6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21" ht="15" customHeight="1">
      <c r="A17" s="19"/>
      <c r="B17" s="14" t="s">
        <v>80</v>
      </c>
      <c r="C17" s="19"/>
      <c r="D17" s="19"/>
      <c r="E17" s="106"/>
      <c r="F17" s="19"/>
      <c r="G17" s="6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21" ht="15" customHeight="1">
      <c r="A18" s="19"/>
      <c r="B18" s="14" t="s">
        <v>40</v>
      </c>
      <c r="C18" s="19"/>
      <c r="D18" s="19"/>
      <c r="E18" s="106"/>
      <c r="F18" s="19"/>
      <c r="G18" s="6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21" ht="15" customHeight="1">
      <c r="A19" s="19"/>
      <c r="B19" s="14" t="s">
        <v>13</v>
      </c>
      <c r="C19" s="19"/>
      <c r="D19" s="19"/>
      <c r="E19" s="106"/>
      <c r="F19" s="19"/>
      <c r="G19" s="6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21" ht="15" customHeight="1">
      <c r="A20" s="135"/>
      <c r="B20" s="14" t="s">
        <v>98</v>
      </c>
      <c r="C20" s="17">
        <v>1</v>
      </c>
      <c r="D20" s="24" t="s">
        <v>12</v>
      </c>
      <c r="E20" s="106"/>
      <c r="F20" s="77">
        <f>675000+1215000</f>
        <v>1890000</v>
      </c>
      <c r="G20" s="136"/>
      <c r="H20" s="44"/>
      <c r="I20" s="44"/>
      <c r="J20" s="44"/>
      <c r="K20" s="44"/>
      <c r="L20" s="44"/>
      <c r="M20" s="44"/>
      <c r="N20" s="44"/>
      <c r="O20" s="44">
        <f>+F20</f>
        <v>1890000</v>
      </c>
      <c r="P20" s="44"/>
      <c r="Q20" s="44"/>
      <c r="R20" s="44"/>
      <c r="S20" s="137"/>
      <c r="T20" s="137"/>
      <c r="U20" s="137"/>
    </row>
    <row r="21" spans="1:21" ht="15" customHeight="1">
      <c r="A21" s="19"/>
      <c r="B21" s="16"/>
      <c r="C21" s="17"/>
      <c r="D21" s="24"/>
      <c r="E21" s="106"/>
      <c r="F21" s="77"/>
      <c r="G21" s="8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21" ht="15" customHeight="1">
      <c r="A22" s="51"/>
      <c r="B22" s="104" t="s">
        <v>52</v>
      </c>
      <c r="C22" s="21">
        <v>1</v>
      </c>
      <c r="D22" s="24" t="s">
        <v>14</v>
      </c>
      <c r="E22" s="106"/>
      <c r="F22" s="22">
        <f>2675000-466000</f>
        <v>2209000</v>
      </c>
      <c r="G22" s="84"/>
      <c r="H22" s="5">
        <v>1075000</v>
      </c>
      <c r="I22" s="5">
        <v>500000</v>
      </c>
      <c r="J22" s="5"/>
      <c r="K22" s="5">
        <v>350000</v>
      </c>
      <c r="L22" s="5"/>
      <c r="M22" s="5">
        <f>+F22-H22-I22-K22</f>
        <v>284000</v>
      </c>
      <c r="N22" s="5"/>
      <c r="O22" s="5"/>
      <c r="P22" s="5"/>
      <c r="Q22" s="5"/>
      <c r="R22" s="5"/>
    </row>
    <row r="23" spans="1:21" ht="15" customHeight="1">
      <c r="A23" s="76"/>
      <c r="B23" s="54" t="s">
        <v>69</v>
      </c>
      <c r="C23" s="21">
        <v>1</v>
      </c>
      <c r="D23" s="24" t="s">
        <v>14</v>
      </c>
      <c r="E23" s="106"/>
      <c r="F23" s="22">
        <v>125000</v>
      </c>
      <c r="G23" s="84"/>
      <c r="H23" s="5"/>
      <c r="I23" s="5"/>
      <c r="J23" s="5"/>
      <c r="K23" s="5"/>
      <c r="L23" s="5">
        <v>125000</v>
      </c>
      <c r="M23" s="5"/>
      <c r="N23" s="5"/>
      <c r="O23" s="5"/>
      <c r="P23" s="5"/>
      <c r="Q23" s="5"/>
      <c r="R23" s="5"/>
    </row>
    <row r="24" spans="1:21" ht="15" customHeight="1">
      <c r="A24" s="15" t="s">
        <v>15</v>
      </c>
      <c r="B24" s="16" t="s">
        <v>70</v>
      </c>
      <c r="C24" s="23">
        <v>1</v>
      </c>
      <c r="D24" s="24" t="s">
        <v>12</v>
      </c>
      <c r="E24" s="138"/>
      <c r="F24" s="20">
        <f>3500000+350000+400000+200000-1500000</f>
        <v>2950000</v>
      </c>
      <c r="G24" s="81"/>
      <c r="H24" s="5">
        <v>750000</v>
      </c>
      <c r="I24" s="5">
        <f>+H24</f>
        <v>750000</v>
      </c>
      <c r="J24" s="5"/>
      <c r="K24" s="5"/>
      <c r="L24" s="5"/>
      <c r="M24" s="5"/>
      <c r="N24" s="5">
        <f>+H24</f>
        <v>750000</v>
      </c>
      <c r="O24" s="5">
        <v>700000</v>
      </c>
      <c r="P24" s="5"/>
      <c r="Q24" s="5"/>
      <c r="R24" s="5"/>
    </row>
    <row r="25" spans="1:21" ht="15" customHeight="1">
      <c r="A25" s="19"/>
      <c r="B25" s="14" t="s">
        <v>18</v>
      </c>
      <c r="C25" s="19"/>
      <c r="D25" s="122"/>
      <c r="E25" s="106"/>
      <c r="F25" s="19"/>
      <c r="G25" s="6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21" ht="15" customHeight="1">
      <c r="A26" s="19"/>
      <c r="B26" s="14" t="s">
        <v>19</v>
      </c>
      <c r="C26" s="19"/>
      <c r="D26" s="122"/>
      <c r="E26" s="106"/>
      <c r="F26" s="19"/>
      <c r="G26" s="6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21" ht="15" customHeight="1">
      <c r="A27" s="19"/>
      <c r="B27" s="14" t="s">
        <v>20</v>
      </c>
      <c r="C27" s="19"/>
      <c r="D27" s="122"/>
      <c r="E27" s="106"/>
      <c r="F27" s="19"/>
      <c r="G27" s="6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1" ht="15" customHeight="1">
      <c r="A28" s="19"/>
      <c r="B28" s="14" t="s">
        <v>88</v>
      </c>
      <c r="C28" s="19"/>
      <c r="D28" s="19"/>
      <c r="E28" s="106"/>
      <c r="F28" s="19"/>
      <c r="G28" s="6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21" ht="15" customHeight="1">
      <c r="A29" s="19"/>
      <c r="B29" s="14" t="s">
        <v>21</v>
      </c>
      <c r="C29" s="19"/>
      <c r="D29" s="19"/>
      <c r="E29" s="106"/>
      <c r="F29" s="19"/>
      <c r="G29" s="68"/>
      <c r="H29" s="6"/>
      <c r="I29" s="6"/>
      <c r="J29" s="6"/>
      <c r="K29" s="6"/>
      <c r="L29" s="5"/>
      <c r="M29" s="5"/>
      <c r="N29" s="5"/>
      <c r="O29" s="5"/>
      <c r="P29" s="5"/>
      <c r="Q29" s="5"/>
      <c r="R29" s="5"/>
    </row>
    <row r="30" spans="1:21" ht="15" customHeight="1">
      <c r="A30" s="19"/>
      <c r="B30" s="16" t="s">
        <v>22</v>
      </c>
      <c r="C30" s="21">
        <v>1</v>
      </c>
      <c r="D30" s="24" t="s">
        <v>23</v>
      </c>
      <c r="E30" s="106"/>
      <c r="F30" s="22">
        <f>1320000-480000</f>
        <v>840000</v>
      </c>
      <c r="G30" s="84"/>
      <c r="H30" s="5">
        <v>620000</v>
      </c>
      <c r="I30" s="5"/>
      <c r="J30" s="5"/>
      <c r="K30" s="5"/>
      <c r="L30" s="5"/>
      <c r="M30" s="5">
        <f>+F30-H30</f>
        <v>220000</v>
      </c>
      <c r="N30" s="5"/>
      <c r="O30" s="5"/>
      <c r="P30" s="5"/>
      <c r="Q30" s="5"/>
      <c r="R30" s="5"/>
    </row>
    <row r="31" spans="1:21" ht="15" customHeight="1">
      <c r="A31" s="19"/>
      <c r="B31" s="16"/>
      <c r="C31" s="17"/>
      <c r="D31" s="24"/>
      <c r="E31" s="106"/>
      <c r="F31" s="105"/>
      <c r="G31" s="8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21" ht="15" customHeight="1">
      <c r="A32" s="15" t="s">
        <v>16</v>
      </c>
      <c r="B32" s="16" t="s">
        <v>59</v>
      </c>
      <c r="C32" s="17">
        <v>1</v>
      </c>
      <c r="D32" s="24" t="s">
        <v>12</v>
      </c>
      <c r="E32" s="106"/>
      <c r="F32" s="77">
        <v>1400000</v>
      </c>
      <c r="G32" s="68"/>
      <c r="H32" s="6"/>
      <c r="I32" s="6"/>
      <c r="J32" s="6"/>
      <c r="K32" s="6"/>
      <c r="L32" s="5"/>
      <c r="M32" s="5">
        <v>700000</v>
      </c>
      <c r="N32" s="5">
        <v>700000</v>
      </c>
      <c r="O32" s="5"/>
      <c r="P32" s="5"/>
      <c r="Q32" s="5"/>
      <c r="R32" s="5"/>
    </row>
    <row r="33" spans="1:21" ht="15" customHeight="1">
      <c r="A33" s="19"/>
      <c r="B33" s="14" t="s">
        <v>89</v>
      </c>
      <c r="C33" s="19"/>
      <c r="D33" s="19"/>
      <c r="E33" s="106"/>
      <c r="F33" s="106"/>
      <c r="G33" s="68"/>
      <c r="H33" s="6"/>
      <c r="I33" s="6"/>
      <c r="J33" s="6"/>
      <c r="K33" s="6"/>
      <c r="L33" s="5"/>
      <c r="M33" s="5"/>
      <c r="N33" s="5"/>
      <c r="O33" s="5"/>
      <c r="P33" s="5"/>
      <c r="Q33" s="5"/>
      <c r="R33" s="5"/>
    </row>
    <row r="34" spans="1:21" ht="15" customHeight="1">
      <c r="A34" s="19"/>
      <c r="B34" s="14" t="s">
        <v>90</v>
      </c>
      <c r="C34" s="19"/>
      <c r="D34" s="19"/>
      <c r="E34" s="106"/>
      <c r="F34" s="106"/>
      <c r="G34" s="68"/>
      <c r="H34" s="6"/>
      <c r="I34" s="6"/>
      <c r="J34" s="6"/>
      <c r="K34" s="6"/>
      <c r="L34" s="5"/>
      <c r="M34" s="5"/>
      <c r="N34" s="5"/>
      <c r="O34" s="5"/>
      <c r="P34" s="5"/>
      <c r="Q34" s="5"/>
      <c r="R34" s="5"/>
    </row>
    <row r="35" spans="1:21" ht="15" customHeight="1">
      <c r="A35" s="27" t="s">
        <v>17</v>
      </c>
      <c r="B35" s="28" t="s">
        <v>26</v>
      </c>
      <c r="C35" s="74">
        <v>1</v>
      </c>
      <c r="D35" s="75" t="s">
        <v>0</v>
      </c>
      <c r="E35" s="108"/>
      <c r="F35" s="107">
        <v>3496000</v>
      </c>
      <c r="G35" s="87"/>
      <c r="H35" s="30"/>
      <c r="I35" s="30"/>
      <c r="J35" s="30"/>
      <c r="K35" s="31"/>
      <c r="L35" s="31"/>
      <c r="M35" s="31"/>
      <c r="N35" s="31"/>
      <c r="O35" s="31"/>
      <c r="P35" s="31"/>
      <c r="Q35" s="31"/>
      <c r="R35" s="31"/>
    </row>
    <row r="36" spans="1:21" ht="15" customHeight="1">
      <c r="A36" s="29"/>
      <c r="B36" s="33" t="s">
        <v>91</v>
      </c>
      <c r="C36" s="35" t="s">
        <v>27</v>
      </c>
      <c r="D36" s="29"/>
      <c r="E36" s="108"/>
      <c r="F36" s="108"/>
      <c r="G36" s="88"/>
      <c r="H36" s="30"/>
      <c r="I36" s="30"/>
      <c r="J36" s="30"/>
      <c r="K36" s="30"/>
      <c r="L36" s="31"/>
      <c r="M36" s="31"/>
      <c r="N36" s="31"/>
      <c r="O36" s="31"/>
      <c r="P36" s="31"/>
      <c r="Q36" s="31"/>
      <c r="R36" s="31"/>
    </row>
    <row r="37" spans="1:21" ht="15" customHeight="1">
      <c r="A37" s="29"/>
      <c r="B37" s="33" t="s">
        <v>92</v>
      </c>
      <c r="C37" s="35" t="s">
        <v>27</v>
      </c>
      <c r="D37" s="29"/>
      <c r="E37" s="108"/>
      <c r="F37" s="108"/>
      <c r="G37" s="88"/>
      <c r="H37" s="30"/>
      <c r="I37" s="30"/>
      <c r="J37" s="30"/>
      <c r="K37" s="30"/>
      <c r="L37" s="31"/>
      <c r="M37" s="31"/>
      <c r="N37" s="31"/>
      <c r="O37" s="31"/>
      <c r="P37" s="31"/>
      <c r="Q37" s="31"/>
      <c r="R37" s="31"/>
    </row>
    <row r="38" spans="1:21" ht="15" customHeight="1">
      <c r="A38" s="29"/>
      <c r="B38" s="33" t="s">
        <v>29</v>
      </c>
      <c r="C38" s="35" t="s">
        <v>28</v>
      </c>
      <c r="D38" s="29"/>
      <c r="E38" s="108"/>
      <c r="F38" s="108"/>
      <c r="G38" s="88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</row>
    <row r="39" spans="1:21" ht="15" customHeight="1">
      <c r="A39" s="29"/>
      <c r="B39" s="33" t="s">
        <v>30</v>
      </c>
      <c r="C39" s="36" t="s">
        <v>7</v>
      </c>
      <c r="D39" s="121">
        <v>2</v>
      </c>
      <c r="E39" s="108"/>
      <c r="F39" s="108"/>
      <c r="G39" s="88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spans="1:21" ht="15" customHeight="1">
      <c r="A40" s="29"/>
      <c r="B40" s="33" t="s">
        <v>31</v>
      </c>
      <c r="C40" s="36" t="s">
        <v>7</v>
      </c>
      <c r="D40" s="121"/>
      <c r="E40" s="108"/>
      <c r="F40" s="108"/>
      <c r="G40" s="88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  <row r="41" spans="1:21" ht="15" customHeight="1">
      <c r="A41" s="29"/>
      <c r="B41" s="33" t="s">
        <v>32</v>
      </c>
      <c r="C41" s="36" t="s">
        <v>7</v>
      </c>
      <c r="D41" s="121"/>
      <c r="E41" s="108"/>
      <c r="F41" s="108"/>
      <c r="G41" s="88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</row>
    <row r="42" spans="1:21" ht="15" customHeight="1">
      <c r="A42" s="29"/>
      <c r="B42" s="33" t="s">
        <v>33</v>
      </c>
      <c r="C42" s="34">
        <v>1</v>
      </c>
      <c r="D42" s="32" t="s">
        <v>0</v>
      </c>
      <c r="E42" s="108"/>
      <c r="F42" s="108"/>
      <c r="G42" s="88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</row>
    <row r="43" spans="1:21" ht="15" customHeight="1">
      <c r="A43" s="37" t="s">
        <v>24</v>
      </c>
      <c r="B43" s="38" t="s">
        <v>71</v>
      </c>
      <c r="C43" s="39">
        <v>1</v>
      </c>
      <c r="D43" s="40" t="s">
        <v>12</v>
      </c>
      <c r="E43" s="110"/>
      <c r="F43" s="109">
        <f>1800000+700000+2380000</f>
        <v>4880000</v>
      </c>
      <c r="G43" s="89"/>
      <c r="H43" s="26"/>
      <c r="I43" s="26"/>
      <c r="J43" s="26"/>
      <c r="K43" s="5"/>
      <c r="L43" s="5"/>
      <c r="M43" s="5">
        <v>2440000</v>
      </c>
      <c r="N43" s="5">
        <v>1440000</v>
      </c>
      <c r="O43" s="5"/>
      <c r="P43" s="5">
        <v>1000000</v>
      </c>
      <c r="Q43" s="5"/>
      <c r="R43" s="5"/>
    </row>
    <row r="44" spans="1:21" ht="15" customHeight="1">
      <c r="A44" s="41"/>
      <c r="B44" s="42" t="s">
        <v>72</v>
      </c>
      <c r="C44" s="41"/>
      <c r="D44" s="41"/>
      <c r="E44" s="110"/>
      <c r="F44" s="110"/>
      <c r="G44" s="71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T44" s="98"/>
      <c r="U44" s="98"/>
    </row>
    <row r="45" spans="1:21" ht="15" customHeight="1">
      <c r="A45" s="19"/>
      <c r="B45" s="14" t="s">
        <v>73</v>
      </c>
      <c r="C45" s="19"/>
      <c r="D45" s="19"/>
      <c r="E45" s="106"/>
      <c r="F45" s="106"/>
      <c r="G45" s="68"/>
      <c r="H45" s="44"/>
      <c r="I45" s="44"/>
      <c r="J45" s="44"/>
      <c r="K45" s="44"/>
      <c r="L45" s="45"/>
      <c r="M45" s="45"/>
      <c r="N45" s="45"/>
      <c r="O45" s="45"/>
      <c r="P45" s="45"/>
      <c r="Q45" s="45"/>
      <c r="R45" s="45"/>
    </row>
    <row r="46" spans="1:21" ht="15" customHeight="1">
      <c r="A46" s="19"/>
      <c r="B46" s="14" t="s">
        <v>74</v>
      </c>
      <c r="C46" s="19"/>
      <c r="D46" s="19"/>
      <c r="E46" s="106"/>
      <c r="F46" s="106"/>
      <c r="G46" s="68"/>
      <c r="H46" s="46"/>
      <c r="I46" s="46"/>
      <c r="J46" s="46"/>
      <c r="K46" s="46"/>
      <c r="L46" s="47"/>
      <c r="M46" s="47"/>
      <c r="N46" s="47"/>
      <c r="O46" s="47"/>
      <c r="P46" s="47"/>
      <c r="Q46" s="47"/>
      <c r="R46" s="47"/>
    </row>
    <row r="47" spans="1:21" ht="15" customHeight="1">
      <c r="A47" s="19"/>
      <c r="B47" s="14" t="s">
        <v>102</v>
      </c>
      <c r="C47" s="39">
        <v>1</v>
      </c>
      <c r="D47" s="40" t="s">
        <v>12</v>
      </c>
      <c r="E47" s="106"/>
      <c r="F47" s="77">
        <v>1440000</v>
      </c>
      <c r="G47" s="68"/>
      <c r="H47" s="46"/>
      <c r="I47" s="46"/>
      <c r="J47" s="44"/>
      <c r="K47" s="44">
        <v>720000</v>
      </c>
      <c r="L47" s="44">
        <v>720000</v>
      </c>
      <c r="M47" s="47"/>
      <c r="N47" s="47"/>
      <c r="O47" s="47"/>
      <c r="P47" s="47"/>
      <c r="Q47" s="47"/>
      <c r="R47" s="47"/>
    </row>
    <row r="48" spans="1:21" ht="15" customHeight="1">
      <c r="A48" s="37" t="s">
        <v>25</v>
      </c>
      <c r="B48" s="38" t="s">
        <v>34</v>
      </c>
      <c r="C48" s="39">
        <v>1</v>
      </c>
      <c r="D48" s="40" t="s">
        <v>12</v>
      </c>
      <c r="E48" s="110"/>
      <c r="F48" s="109">
        <f>15800000</f>
        <v>15800000</v>
      </c>
      <c r="G48" s="89"/>
      <c r="H48" s="26"/>
      <c r="I48" s="26"/>
      <c r="J48" s="5">
        <v>1600000</v>
      </c>
      <c r="K48" s="5">
        <v>1600000</v>
      </c>
      <c r="L48" s="5">
        <v>1600000</v>
      </c>
      <c r="M48" s="5">
        <v>1600000</v>
      </c>
      <c r="N48" s="5">
        <v>1600000</v>
      </c>
      <c r="O48" s="5">
        <v>1600000</v>
      </c>
      <c r="P48" s="5">
        <v>1600000</v>
      </c>
      <c r="Q48" s="5">
        <v>2100000</v>
      </c>
      <c r="R48" s="5">
        <v>2500000</v>
      </c>
    </row>
    <row r="49" spans="1:23" ht="15" customHeight="1">
      <c r="A49" s="41"/>
      <c r="B49" s="42" t="s">
        <v>35</v>
      </c>
      <c r="C49" s="41"/>
      <c r="D49" s="41"/>
      <c r="E49" s="110"/>
      <c r="F49" s="110"/>
      <c r="G49" s="71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23" ht="15" customHeight="1">
      <c r="A50" s="19"/>
      <c r="B50" s="14" t="s">
        <v>36</v>
      </c>
      <c r="C50" s="19"/>
      <c r="D50" s="19"/>
      <c r="E50" s="106"/>
      <c r="F50" s="106"/>
      <c r="G50" s="68"/>
      <c r="H50" s="44"/>
      <c r="I50" s="44"/>
      <c r="J50" s="44"/>
      <c r="K50" s="44"/>
      <c r="L50" s="45"/>
      <c r="M50" s="45"/>
      <c r="N50" s="45"/>
      <c r="O50" s="45"/>
      <c r="P50" s="45"/>
      <c r="Q50" s="45"/>
      <c r="R50" s="45"/>
    </row>
    <row r="51" spans="1:23" ht="15" customHeight="1">
      <c r="A51" s="19"/>
      <c r="B51" s="14" t="s">
        <v>37</v>
      </c>
      <c r="C51" s="19"/>
      <c r="D51" s="19"/>
      <c r="E51" s="106"/>
      <c r="F51" s="106"/>
      <c r="G51" s="68"/>
      <c r="H51" s="46"/>
      <c r="I51" s="46"/>
      <c r="J51" s="46"/>
      <c r="K51" s="46"/>
      <c r="L51" s="47"/>
      <c r="M51" s="47"/>
      <c r="N51" s="47"/>
      <c r="O51" s="47"/>
      <c r="P51" s="47"/>
      <c r="Q51" s="47"/>
      <c r="R51" s="47"/>
    </row>
    <row r="52" spans="1:23" ht="15" customHeight="1">
      <c r="A52" s="19"/>
      <c r="B52" s="14" t="s">
        <v>84</v>
      </c>
      <c r="C52" s="19"/>
      <c r="D52" s="19"/>
      <c r="E52" s="106"/>
      <c r="F52" s="106"/>
      <c r="G52" s="68"/>
      <c r="H52" s="48"/>
      <c r="I52" s="48"/>
      <c r="J52" s="48"/>
      <c r="K52" s="48"/>
      <c r="L52" s="47"/>
      <c r="M52" s="47"/>
      <c r="N52" s="47"/>
      <c r="O52" s="47"/>
      <c r="P52" s="47"/>
      <c r="Q52" s="47"/>
      <c r="R52" s="47"/>
    </row>
    <row r="53" spans="1:23" ht="15" customHeight="1">
      <c r="A53" s="19"/>
      <c r="B53" s="14" t="s">
        <v>85</v>
      </c>
      <c r="C53" s="19"/>
      <c r="D53" s="19"/>
      <c r="E53" s="106"/>
      <c r="F53" s="106"/>
      <c r="G53" s="68"/>
      <c r="H53" s="48"/>
      <c r="I53" s="48"/>
      <c r="J53" s="48"/>
      <c r="K53" s="48"/>
      <c r="L53" s="47"/>
      <c r="M53" s="47"/>
      <c r="N53" s="47"/>
      <c r="O53" s="47"/>
      <c r="P53" s="47"/>
      <c r="Q53" s="47"/>
      <c r="R53" s="47"/>
    </row>
    <row r="54" spans="1:23" ht="15" customHeight="1">
      <c r="A54" s="19"/>
      <c r="B54" s="14" t="s">
        <v>83</v>
      </c>
      <c r="C54" s="19"/>
      <c r="D54" s="19"/>
      <c r="E54" s="106"/>
      <c r="F54" s="106"/>
      <c r="G54" s="68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23" ht="15" customHeight="1">
      <c r="A55" s="51"/>
      <c r="B55" s="123" t="s">
        <v>93</v>
      </c>
      <c r="C55" s="51"/>
      <c r="D55" s="51"/>
      <c r="E55" s="124"/>
      <c r="F55" s="124"/>
      <c r="G55" s="68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23" ht="15" customHeight="1">
      <c r="A56" s="51"/>
      <c r="B56" s="78" t="s">
        <v>86</v>
      </c>
      <c r="C56" s="62">
        <v>1</v>
      </c>
      <c r="D56" s="63" t="s">
        <v>14</v>
      </c>
      <c r="E56" s="124"/>
      <c r="F56" s="111">
        <f>1939285+380000</f>
        <v>2319285</v>
      </c>
      <c r="G56" s="84"/>
      <c r="H56" s="49"/>
      <c r="I56" s="49">
        <v>1319285</v>
      </c>
      <c r="J56" s="49">
        <v>500000</v>
      </c>
      <c r="K56" s="49"/>
      <c r="L56" s="49"/>
      <c r="M56" s="49"/>
      <c r="N56" s="49"/>
      <c r="O56" s="49">
        <v>500000</v>
      </c>
      <c r="P56" s="49"/>
      <c r="Q56" s="49"/>
      <c r="R56" s="49"/>
    </row>
    <row r="57" spans="1:23" ht="15" customHeight="1">
      <c r="A57" s="95"/>
      <c r="B57" s="96"/>
      <c r="C57" s="39"/>
      <c r="D57" s="40"/>
      <c r="E57" s="132"/>
      <c r="F57" s="112"/>
      <c r="G57" s="94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</row>
    <row r="58" spans="1:23" ht="15" customHeight="1" thickBot="1">
      <c r="A58" s="68"/>
      <c r="B58" s="92"/>
      <c r="C58" s="93"/>
      <c r="D58" s="80"/>
      <c r="E58" s="136"/>
      <c r="F58" s="113"/>
      <c r="G58" s="84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23" ht="15" customHeight="1" thickBot="1">
      <c r="A59" s="64"/>
      <c r="B59" s="65" t="s">
        <v>38</v>
      </c>
      <c r="C59" s="66"/>
      <c r="D59" s="66"/>
      <c r="E59" s="139"/>
      <c r="F59" s="114">
        <f>SUM(F8:F58)</f>
        <v>49949285</v>
      </c>
      <c r="G59" s="9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23" ht="15" customHeight="1" thickBot="1">
      <c r="A60" s="67"/>
      <c r="B60" s="9"/>
      <c r="C60" s="9"/>
      <c r="D60" s="9"/>
      <c r="E60" s="115"/>
      <c r="F60" s="115"/>
      <c r="G60" s="9"/>
      <c r="H60" s="7"/>
      <c r="I60" s="7"/>
      <c r="J60" s="7"/>
      <c r="K60" s="7"/>
      <c r="L60" s="8"/>
      <c r="M60" s="8"/>
      <c r="N60" s="8"/>
      <c r="O60" s="8"/>
      <c r="P60" s="8"/>
      <c r="Q60" s="8"/>
      <c r="R60" s="8"/>
      <c r="V60" s="98"/>
      <c r="W60" s="98"/>
    </row>
    <row r="61" spans="1:23" ht="15" customHeight="1" thickBot="1">
      <c r="A61" s="141" t="s">
        <v>87</v>
      </c>
      <c r="B61" s="142"/>
      <c r="C61" s="142"/>
      <c r="D61" s="142"/>
      <c r="E61" s="139"/>
      <c r="F61" s="116">
        <f>+F59*10%</f>
        <v>4994928.5</v>
      </c>
      <c r="G61" s="81"/>
      <c r="H61" s="131">
        <v>500000</v>
      </c>
      <c r="I61" s="131">
        <v>500000</v>
      </c>
      <c r="J61" s="131">
        <v>500000</v>
      </c>
      <c r="K61" s="131">
        <v>500000</v>
      </c>
      <c r="L61" s="131">
        <v>500000</v>
      </c>
      <c r="M61" s="131"/>
      <c r="N61" s="131">
        <v>500000</v>
      </c>
      <c r="O61" s="131">
        <v>500000</v>
      </c>
      <c r="P61" s="131">
        <v>500000</v>
      </c>
      <c r="Q61" s="131">
        <v>500000</v>
      </c>
      <c r="R61" s="131">
        <v>494928.5</v>
      </c>
    </row>
    <row r="62" spans="1:23" ht="15" customHeight="1" thickBot="1">
      <c r="A62" s="68"/>
      <c r="B62" s="69"/>
      <c r="C62" s="70"/>
      <c r="D62" s="71"/>
      <c r="E62" s="140"/>
      <c r="F62" s="86"/>
      <c r="G62" s="72"/>
      <c r="H62" s="129">
        <f t="shared" ref="H62:R62" si="0">SUM(H8:H61)</f>
        <v>4345000</v>
      </c>
      <c r="I62" s="129">
        <f t="shared" si="0"/>
        <v>4469285</v>
      </c>
      <c r="J62" s="130">
        <f t="shared" si="0"/>
        <v>4000000</v>
      </c>
      <c r="K62" s="130">
        <f t="shared" si="0"/>
        <v>4570000</v>
      </c>
      <c r="L62" s="130">
        <f t="shared" si="0"/>
        <v>4345000</v>
      </c>
      <c r="M62" s="130">
        <f t="shared" si="0"/>
        <v>6644000</v>
      </c>
      <c r="N62" s="130">
        <f t="shared" si="0"/>
        <v>6390000</v>
      </c>
      <c r="O62" s="130">
        <f t="shared" si="0"/>
        <v>6590000</v>
      </c>
      <c r="P62" s="130">
        <f t="shared" si="0"/>
        <v>4500000</v>
      </c>
      <c r="Q62" s="130">
        <f t="shared" si="0"/>
        <v>2600000</v>
      </c>
      <c r="R62" s="130">
        <f t="shared" si="0"/>
        <v>2994928.5</v>
      </c>
    </row>
    <row r="63" spans="1:23" ht="15" customHeight="1">
      <c r="A63" s="59" t="s">
        <v>42</v>
      </c>
      <c r="B63" s="55" t="s">
        <v>46</v>
      </c>
      <c r="C63" s="56"/>
      <c r="D63" s="56"/>
      <c r="E63" s="128"/>
      <c r="F63" s="127">
        <f>SUM(F59:F62)</f>
        <v>54944213.5</v>
      </c>
      <c r="G63" s="57"/>
      <c r="H63" s="58"/>
      <c r="I63" s="58"/>
      <c r="J63" s="58"/>
      <c r="K63" s="58"/>
      <c r="L63" s="58"/>
      <c r="M63" s="58"/>
      <c r="N63" s="58"/>
      <c r="O63" s="58"/>
      <c r="P63" s="58"/>
    </row>
    <row r="64" spans="1:23" ht="15" customHeight="1">
      <c r="A64" s="59"/>
      <c r="B64" s="10" t="s">
        <v>47</v>
      </c>
      <c r="C64" s="56"/>
      <c r="D64" s="56"/>
      <c r="E64" s="128" t="s">
        <v>94</v>
      </c>
      <c r="F64" s="128">
        <f>+F63/1390</f>
        <v>39528.211151079136</v>
      </c>
      <c r="G64" s="57"/>
      <c r="H64" s="125"/>
      <c r="I64" s="125"/>
      <c r="J64" s="126"/>
      <c r="K64" s="126"/>
      <c r="L64" s="126"/>
      <c r="M64" s="126"/>
      <c r="N64" s="126"/>
      <c r="O64" s="126"/>
      <c r="P64" s="126"/>
    </row>
    <row r="65" spans="1:27" ht="15" customHeight="1">
      <c r="A65" s="60"/>
      <c r="B65" s="55"/>
      <c r="C65" s="58"/>
      <c r="D65" s="55"/>
      <c r="E65" s="50" t="s">
        <v>60</v>
      </c>
      <c r="F65" s="50">
        <f>+F63/168</f>
        <v>327048.88988095237</v>
      </c>
      <c r="G65" s="50"/>
      <c r="H65" s="58"/>
      <c r="I65" s="58"/>
      <c r="J65" s="58"/>
      <c r="K65" s="58"/>
      <c r="L65" s="58"/>
      <c r="M65" s="58"/>
      <c r="N65" s="58"/>
      <c r="O65" s="58"/>
      <c r="P65" s="58"/>
    </row>
    <row r="66" spans="1:27" ht="15" customHeight="1">
      <c r="A66" s="61" t="s">
        <v>42</v>
      </c>
      <c r="B66" s="55" t="s">
        <v>41</v>
      </c>
      <c r="C66" s="55"/>
      <c r="D66" s="55"/>
      <c r="E66" s="50"/>
      <c r="F66" s="50"/>
      <c r="G66" s="55"/>
      <c r="H66" s="55"/>
      <c r="I66" s="55"/>
      <c r="J66" s="55"/>
      <c r="K66" s="55"/>
      <c r="L66" s="61"/>
      <c r="M66" s="79"/>
      <c r="N66" s="55"/>
      <c r="O66" s="55"/>
      <c r="P66" s="55"/>
    </row>
    <row r="67" spans="1:27" ht="15" customHeight="1">
      <c r="A67" s="61"/>
      <c r="B67" s="55"/>
      <c r="C67" s="55"/>
      <c r="D67" s="55" t="s">
        <v>97</v>
      </c>
      <c r="E67" s="133" t="s">
        <v>43</v>
      </c>
      <c r="F67" s="117">
        <f>+F65/1390</f>
        <v>235.28697113737582</v>
      </c>
      <c r="G67" s="55"/>
      <c r="H67" s="79"/>
      <c r="I67" s="55"/>
      <c r="J67" s="55"/>
      <c r="K67" s="55"/>
      <c r="L67" s="61"/>
      <c r="M67" s="50"/>
      <c r="N67" s="55"/>
      <c r="O67" s="55"/>
      <c r="P67" s="55"/>
    </row>
    <row r="68" spans="1:27" ht="15" customHeight="1">
      <c r="A68" s="61" t="s">
        <v>42</v>
      </c>
      <c r="B68" s="55" t="s">
        <v>63</v>
      </c>
      <c r="C68" s="55"/>
      <c r="D68" s="55"/>
      <c r="E68" s="50"/>
      <c r="F68" s="50"/>
      <c r="G68" s="55"/>
      <c r="H68" s="55"/>
      <c r="I68" s="55"/>
      <c r="J68" s="55"/>
      <c r="K68" s="55"/>
      <c r="L68" s="61"/>
      <c r="M68" s="50"/>
      <c r="N68" s="55"/>
      <c r="O68" s="55"/>
      <c r="P68" s="55"/>
      <c r="X68" s="98"/>
      <c r="Z68" s="98"/>
      <c r="AA68" s="98"/>
    </row>
    <row r="69" spans="1:27" ht="15" customHeight="1">
      <c r="A69" s="61"/>
      <c r="B69" s="55"/>
      <c r="C69" s="55"/>
      <c r="D69" s="55"/>
      <c r="E69" s="50"/>
      <c r="F69" s="50"/>
      <c r="G69" s="55"/>
      <c r="H69" s="91"/>
      <c r="I69" s="55"/>
      <c r="J69" s="91"/>
      <c r="K69" s="55"/>
      <c r="L69" s="55"/>
      <c r="M69" s="50"/>
      <c r="N69" s="55"/>
      <c r="O69" s="55"/>
      <c r="P69" s="55"/>
      <c r="Y69" s="98"/>
    </row>
    <row r="70" spans="1:27" ht="15" customHeight="1">
      <c r="A70" s="61" t="s">
        <v>42</v>
      </c>
      <c r="B70" s="55" t="s">
        <v>61</v>
      </c>
      <c r="C70" s="55"/>
      <c r="D70" s="55"/>
      <c r="E70" s="50"/>
      <c r="F70" s="50"/>
      <c r="G70" s="55"/>
      <c r="H70" s="55"/>
      <c r="I70" s="55"/>
      <c r="J70" s="55"/>
      <c r="K70" s="55"/>
      <c r="L70" s="55"/>
      <c r="M70" s="101"/>
      <c r="N70" s="55"/>
      <c r="O70" s="55"/>
      <c r="P70" s="55"/>
    </row>
    <row r="71" spans="1:27" ht="15" customHeight="1">
      <c r="A71" s="61"/>
      <c r="B71" s="55"/>
      <c r="C71" s="55"/>
      <c r="D71" s="55"/>
      <c r="E71" s="50"/>
      <c r="F71" s="50"/>
      <c r="G71" s="55"/>
      <c r="H71" s="91"/>
      <c r="I71" s="55"/>
      <c r="J71" s="55"/>
      <c r="K71" s="55"/>
      <c r="L71" s="55"/>
      <c r="M71" s="50"/>
      <c r="N71" s="55"/>
      <c r="O71" s="55"/>
      <c r="P71" s="55"/>
    </row>
    <row r="72" spans="1:27" ht="15" customHeight="1">
      <c r="A72" s="61" t="s">
        <v>42</v>
      </c>
      <c r="B72" s="55" t="s">
        <v>44</v>
      </c>
      <c r="C72" s="55"/>
      <c r="D72" s="55"/>
      <c r="E72" s="50"/>
      <c r="F72" s="50"/>
      <c r="G72" s="55"/>
      <c r="H72" s="91"/>
      <c r="I72" s="55"/>
      <c r="J72" s="55"/>
      <c r="K72" s="55"/>
      <c r="L72" s="91"/>
      <c r="M72" s="50"/>
      <c r="N72" s="55"/>
      <c r="O72" s="55"/>
      <c r="P72" s="55"/>
    </row>
    <row r="73" spans="1:27" ht="15" customHeight="1">
      <c r="A73" s="61"/>
      <c r="B73" s="55" t="s">
        <v>64</v>
      </c>
      <c r="C73" s="55"/>
      <c r="D73" s="55"/>
      <c r="E73" s="50"/>
      <c r="F73" s="50"/>
      <c r="G73" s="55"/>
      <c r="H73" s="91"/>
      <c r="I73" s="55"/>
      <c r="J73" s="55"/>
      <c r="K73" s="55"/>
      <c r="L73" s="55"/>
      <c r="M73" s="50"/>
      <c r="N73" s="55"/>
      <c r="O73" s="55"/>
      <c r="P73" s="55"/>
    </row>
    <row r="74" spans="1:27" ht="15" customHeight="1">
      <c r="A74" s="61"/>
      <c r="B74" s="55" t="s">
        <v>95</v>
      </c>
      <c r="C74" s="55"/>
      <c r="D74" s="55"/>
      <c r="E74" s="50"/>
      <c r="F74" s="50"/>
      <c r="G74" s="55"/>
      <c r="H74" s="55"/>
      <c r="I74" s="55"/>
      <c r="J74" s="55"/>
      <c r="K74" s="55"/>
      <c r="L74" s="55"/>
      <c r="M74" s="55"/>
      <c r="N74" s="55"/>
      <c r="O74" s="55"/>
      <c r="P74" s="55"/>
    </row>
    <row r="75" spans="1:27" ht="15" customHeight="1">
      <c r="A75" s="61"/>
      <c r="B75" s="55" t="s">
        <v>96</v>
      </c>
      <c r="C75" s="55"/>
      <c r="D75" s="55"/>
      <c r="E75" s="50"/>
      <c r="F75" s="50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spans="1:27" ht="15" customHeight="1">
      <c r="A76" s="61"/>
      <c r="B76" s="55" t="s">
        <v>65</v>
      </c>
      <c r="C76" s="55"/>
      <c r="D76" s="55"/>
      <c r="E76" s="50"/>
      <c r="F76" s="50"/>
      <c r="G76" s="55"/>
      <c r="H76" s="55"/>
      <c r="I76" s="55"/>
      <c r="J76" s="55"/>
      <c r="K76" s="55"/>
      <c r="L76" s="55"/>
      <c r="M76" s="55"/>
      <c r="N76" s="55"/>
      <c r="O76" s="55"/>
      <c r="P76" s="55"/>
    </row>
    <row r="77" spans="1:27" ht="15" customHeight="1">
      <c r="A77" s="61"/>
      <c r="B77" s="55" t="s">
        <v>66</v>
      </c>
      <c r="C77" s="55"/>
      <c r="D77" s="55"/>
      <c r="E77" s="101"/>
      <c r="F77" s="101"/>
      <c r="G77" s="100"/>
      <c r="H77" s="102"/>
      <c r="I77" s="55"/>
      <c r="J77" s="55"/>
      <c r="K77" s="55"/>
      <c r="L77" s="55"/>
      <c r="M77" s="55"/>
      <c r="N77" s="55"/>
      <c r="O77" s="55"/>
      <c r="P77" s="55"/>
    </row>
    <row r="78" spans="1:27" ht="15" customHeight="1">
      <c r="A78" s="61"/>
      <c r="B78" s="55" t="s">
        <v>67</v>
      </c>
      <c r="C78" s="55"/>
      <c r="D78" s="55"/>
      <c r="E78" s="118"/>
      <c r="F78" s="118"/>
      <c r="G78" s="100"/>
      <c r="H78" s="100"/>
      <c r="I78" s="55"/>
      <c r="J78" s="55"/>
      <c r="K78" s="55"/>
      <c r="L78" s="55"/>
      <c r="M78" s="55"/>
      <c r="N78" s="55"/>
      <c r="O78" s="55"/>
    </row>
    <row r="79" spans="1:27" ht="15" customHeight="1">
      <c r="A79" s="61"/>
      <c r="B79" s="55" t="s">
        <v>51</v>
      </c>
      <c r="C79" s="55"/>
      <c r="D79" s="55"/>
      <c r="E79" s="118"/>
      <c r="F79" s="118"/>
      <c r="G79" s="100"/>
      <c r="H79" s="101"/>
      <c r="I79" s="55"/>
      <c r="J79" s="55"/>
      <c r="K79" s="55"/>
      <c r="L79" s="55"/>
      <c r="M79" s="55"/>
      <c r="N79" s="55"/>
      <c r="O79" s="55"/>
    </row>
    <row r="80" spans="1:27" ht="15" customHeight="1">
      <c r="A80" s="61"/>
      <c r="B80" s="55" t="s">
        <v>50</v>
      </c>
      <c r="C80" s="55"/>
      <c r="D80" s="55"/>
      <c r="E80" s="118"/>
      <c r="F80" s="118"/>
      <c r="G80" s="100"/>
      <c r="H80" s="100"/>
      <c r="I80" s="55"/>
      <c r="J80" s="55"/>
      <c r="K80" s="55"/>
      <c r="L80" s="55"/>
      <c r="M80" s="55"/>
      <c r="N80" s="55"/>
      <c r="O80" s="55"/>
    </row>
    <row r="81" spans="1:15" ht="15" customHeight="1">
      <c r="A81" s="61"/>
      <c r="B81" s="55"/>
      <c r="C81" s="55"/>
      <c r="D81" s="55"/>
      <c r="E81" s="118"/>
      <c r="F81" s="118"/>
      <c r="G81" s="100"/>
      <c r="H81" s="100"/>
      <c r="I81" s="55"/>
      <c r="J81" s="55"/>
      <c r="K81" s="55"/>
      <c r="L81" s="55"/>
      <c r="M81" s="55"/>
      <c r="N81" s="55"/>
      <c r="O81" s="55"/>
    </row>
    <row r="82" spans="1:15" ht="15" customHeight="1">
      <c r="A82" s="61"/>
      <c r="B82" s="55"/>
      <c r="C82" s="55"/>
      <c r="D82" s="55"/>
      <c r="E82" s="118"/>
      <c r="F82" s="118"/>
      <c r="G82" s="100"/>
      <c r="H82" s="100"/>
      <c r="I82" s="55"/>
      <c r="J82" s="55"/>
      <c r="K82" s="55"/>
      <c r="L82" s="55"/>
      <c r="M82" s="55"/>
      <c r="N82" s="55"/>
      <c r="O82" s="55"/>
    </row>
    <row r="83" spans="1:15" ht="15" customHeight="1">
      <c r="A83" s="61"/>
      <c r="B83" s="55"/>
      <c r="C83" s="55"/>
      <c r="D83" s="55"/>
      <c r="E83" s="118"/>
      <c r="F83" s="118"/>
      <c r="G83" s="100"/>
      <c r="H83" s="100"/>
      <c r="I83" s="55"/>
      <c r="J83" s="55"/>
      <c r="K83" s="55"/>
      <c r="L83" s="55"/>
      <c r="M83" s="55"/>
      <c r="N83" s="55"/>
      <c r="O83" s="55"/>
    </row>
    <row r="84" spans="1:15" ht="15" customHeight="1">
      <c r="A84" s="61"/>
      <c r="B84" s="55"/>
      <c r="C84" s="55"/>
      <c r="D84" s="55"/>
      <c r="E84" s="118"/>
      <c r="F84" s="118"/>
      <c r="G84" s="100"/>
      <c r="H84" s="100"/>
      <c r="I84" s="55"/>
      <c r="J84" s="55"/>
      <c r="K84" s="55"/>
      <c r="L84" s="55"/>
      <c r="M84" s="55"/>
      <c r="N84" s="55"/>
      <c r="O84" s="55"/>
    </row>
    <row r="85" spans="1:15" ht="15" customHeight="1">
      <c r="A85" s="61"/>
      <c r="B85" s="55"/>
      <c r="C85" s="55"/>
      <c r="D85" s="55"/>
      <c r="E85" s="101"/>
      <c r="F85" s="101"/>
      <c r="G85" s="100"/>
      <c r="H85" s="102"/>
      <c r="I85" s="55"/>
      <c r="J85" s="55"/>
      <c r="K85" s="55"/>
      <c r="L85" s="55"/>
      <c r="M85" s="55"/>
      <c r="N85" s="55"/>
      <c r="O85" s="55"/>
    </row>
    <row r="86" spans="1:15" ht="15" customHeight="1">
      <c r="A86" s="61"/>
      <c r="B86" s="55"/>
      <c r="C86" s="55"/>
      <c r="D86" s="55"/>
      <c r="E86" s="134"/>
      <c r="F86" s="118"/>
      <c r="G86" s="100"/>
      <c r="H86" s="103"/>
      <c r="I86" s="55"/>
      <c r="J86" s="55"/>
      <c r="K86" s="55"/>
      <c r="L86" s="55"/>
      <c r="M86" s="55"/>
      <c r="N86" s="55"/>
      <c r="O86" s="55"/>
    </row>
    <row r="87" spans="1:15" ht="15" customHeight="1">
      <c r="A87" s="61"/>
      <c r="B87" s="55"/>
      <c r="C87" s="55"/>
      <c r="D87" s="55"/>
      <c r="E87" s="134"/>
      <c r="F87" s="118"/>
      <c r="G87" s="100"/>
      <c r="H87" s="100"/>
      <c r="I87" s="55"/>
      <c r="J87" s="55"/>
      <c r="K87" s="55"/>
      <c r="L87" s="55"/>
      <c r="M87" s="55"/>
      <c r="N87" s="55"/>
      <c r="O87" s="55"/>
    </row>
    <row r="88" spans="1:15" ht="15" customHeight="1">
      <c r="A88" s="61"/>
      <c r="B88" s="55"/>
      <c r="C88" s="55"/>
      <c r="D88" s="55"/>
      <c r="E88" s="134"/>
      <c r="F88" s="118"/>
      <c r="G88" s="100"/>
      <c r="H88" s="100"/>
      <c r="I88" s="55"/>
      <c r="J88" s="55"/>
      <c r="K88" s="55"/>
      <c r="L88" s="55"/>
      <c r="M88" s="55"/>
      <c r="N88" s="55"/>
      <c r="O88" s="55"/>
    </row>
    <row r="89" spans="1:15" ht="15" customHeight="1">
      <c r="A89" s="61"/>
      <c r="B89" s="55"/>
      <c r="C89" s="55"/>
      <c r="D89" s="55"/>
      <c r="E89" s="134"/>
      <c r="F89" s="118"/>
      <c r="G89" s="100"/>
      <c r="H89" s="100"/>
      <c r="I89" s="55"/>
      <c r="J89" s="55"/>
      <c r="K89" s="55"/>
      <c r="L89" s="55"/>
      <c r="M89" s="55"/>
      <c r="N89" s="55"/>
      <c r="O89" s="55"/>
    </row>
    <row r="90" spans="1:15" ht="15" customHeight="1">
      <c r="A90" s="61"/>
      <c r="B90" s="55"/>
      <c r="C90" s="55"/>
      <c r="D90" s="55"/>
      <c r="E90" s="118"/>
      <c r="F90" s="118"/>
      <c r="G90" s="100"/>
      <c r="H90" s="100"/>
      <c r="I90" s="55"/>
      <c r="J90" s="55"/>
      <c r="K90" s="55"/>
      <c r="L90" s="55"/>
      <c r="M90" s="55"/>
      <c r="N90" s="55"/>
      <c r="O90" s="55"/>
    </row>
    <row r="91" spans="1:15" ht="15" customHeight="1">
      <c r="A91" s="61"/>
      <c r="B91" s="55"/>
      <c r="C91" s="55"/>
      <c r="D91" s="55"/>
      <c r="E91" s="118"/>
      <c r="F91" s="118"/>
      <c r="G91" s="100"/>
      <c r="H91" s="102"/>
      <c r="I91" s="55"/>
      <c r="J91" s="55"/>
      <c r="K91" s="55"/>
      <c r="L91" s="55"/>
      <c r="M91" s="55"/>
      <c r="N91" s="55"/>
      <c r="O91" s="55"/>
    </row>
    <row r="92" spans="1:15" ht="15" customHeight="1">
      <c r="A92" s="61"/>
      <c r="B92" s="55"/>
      <c r="C92" s="55"/>
      <c r="D92" s="55"/>
      <c r="E92" s="118"/>
      <c r="F92" s="118"/>
      <c r="G92" s="100"/>
      <c r="H92" s="103"/>
      <c r="I92" s="55"/>
      <c r="J92" s="55"/>
      <c r="K92" s="55"/>
      <c r="L92" s="55"/>
      <c r="M92" s="55"/>
      <c r="N92" s="55"/>
      <c r="O92" s="55"/>
    </row>
    <row r="93" spans="1:15" ht="15" customHeight="1">
      <c r="A93" s="61"/>
      <c r="B93" s="55"/>
      <c r="C93" s="55"/>
      <c r="D93" s="55"/>
      <c r="E93" s="118"/>
      <c r="F93" s="118"/>
      <c r="G93" s="100"/>
      <c r="H93" s="100"/>
      <c r="I93" s="55"/>
      <c r="J93" s="55"/>
      <c r="K93" s="55"/>
      <c r="L93" s="55"/>
      <c r="M93" s="55"/>
      <c r="N93" s="55"/>
      <c r="O93" s="55"/>
    </row>
    <row r="94" spans="1:15" ht="15" customHeight="1">
      <c r="A94" s="61"/>
      <c r="B94" s="55"/>
      <c r="C94" s="55"/>
      <c r="D94" s="55"/>
      <c r="E94" s="118"/>
      <c r="F94" s="118"/>
      <c r="G94" s="100"/>
      <c r="H94" s="100"/>
      <c r="I94" s="55"/>
      <c r="J94" s="55"/>
      <c r="K94" s="55"/>
      <c r="L94" s="55"/>
      <c r="M94" s="55"/>
      <c r="N94" s="55"/>
      <c r="O94" s="55"/>
    </row>
    <row r="95" spans="1:15" ht="15" customHeight="1">
      <c r="A95" s="61"/>
      <c r="B95" s="55"/>
      <c r="C95" s="55"/>
      <c r="D95" s="55"/>
      <c r="E95" s="118"/>
      <c r="F95" s="118"/>
      <c r="G95" s="100"/>
      <c r="H95" s="100"/>
      <c r="I95" s="55"/>
      <c r="J95" s="55"/>
      <c r="K95" s="55"/>
      <c r="L95" s="55"/>
      <c r="M95" s="55"/>
      <c r="N95" s="55"/>
      <c r="O95" s="55"/>
    </row>
    <row r="96" spans="1:15" ht="15" customHeight="1">
      <c r="A96" s="61"/>
      <c r="B96" s="55"/>
      <c r="C96" s="55"/>
      <c r="D96" s="55"/>
      <c r="E96" s="118"/>
      <c r="F96" s="118"/>
      <c r="G96" s="100"/>
      <c r="H96" s="100"/>
      <c r="I96" s="55"/>
      <c r="J96" s="55"/>
      <c r="K96" s="55"/>
      <c r="L96" s="55"/>
      <c r="M96" s="55"/>
      <c r="N96" s="55"/>
      <c r="O96" s="55"/>
    </row>
    <row r="97" spans="1:15" ht="15" customHeight="1">
      <c r="A97" s="61"/>
      <c r="B97" s="55"/>
      <c r="C97" s="55"/>
      <c r="D97" s="55"/>
      <c r="E97" s="118"/>
      <c r="F97" s="118"/>
      <c r="G97" s="100"/>
      <c r="H97" s="100"/>
      <c r="I97" s="55"/>
      <c r="J97" s="55"/>
      <c r="K97" s="55"/>
      <c r="L97" s="55"/>
      <c r="M97" s="55"/>
      <c r="N97" s="55"/>
      <c r="O97" s="55"/>
    </row>
    <row r="98" spans="1:15" ht="15" customHeight="1">
      <c r="A98" s="61"/>
      <c r="B98" s="55"/>
      <c r="C98" s="55"/>
      <c r="D98" s="55"/>
      <c r="E98" s="118"/>
      <c r="F98" s="118"/>
      <c r="G98" s="100"/>
      <c r="H98" s="100"/>
      <c r="I98" s="55"/>
      <c r="J98" s="55"/>
      <c r="K98" s="55"/>
      <c r="L98" s="55"/>
      <c r="M98" s="55"/>
      <c r="N98" s="55"/>
      <c r="O98" s="55"/>
    </row>
    <row r="99" spans="1:15" ht="15" customHeight="1">
      <c r="A99" s="61"/>
      <c r="B99" s="55"/>
      <c r="C99" s="55"/>
      <c r="D99" s="55"/>
      <c r="E99" s="118"/>
      <c r="F99" s="118"/>
      <c r="G99" s="100"/>
      <c r="H99" s="100"/>
      <c r="I99" s="55"/>
      <c r="J99" s="55"/>
      <c r="K99" s="55"/>
      <c r="L99" s="55"/>
      <c r="M99" s="55"/>
      <c r="N99" s="55"/>
      <c r="O99" s="55"/>
    </row>
    <row r="100" spans="1:15" ht="15" customHeight="1">
      <c r="A100" s="61"/>
      <c r="B100" s="55"/>
      <c r="C100" s="55"/>
      <c r="D100" s="55"/>
      <c r="E100" s="118"/>
      <c r="F100" s="118"/>
      <c r="G100" s="100"/>
      <c r="H100" s="100"/>
      <c r="I100" s="55"/>
      <c r="J100" s="55"/>
      <c r="K100" s="55"/>
      <c r="L100" s="55"/>
      <c r="M100" s="55"/>
      <c r="N100" s="55"/>
      <c r="O100" s="55"/>
    </row>
    <row r="101" spans="1:15" ht="15" customHeight="1">
      <c r="A101" s="61"/>
      <c r="B101" s="55"/>
      <c r="C101" s="55"/>
      <c r="D101" s="55"/>
      <c r="E101" s="118"/>
      <c r="F101" s="118"/>
      <c r="G101" s="100"/>
      <c r="H101" s="100"/>
      <c r="I101" s="55"/>
      <c r="J101" s="55"/>
      <c r="K101" s="55"/>
      <c r="L101" s="55"/>
      <c r="M101" s="55"/>
      <c r="N101" s="55"/>
      <c r="O101" s="55"/>
    </row>
    <row r="102" spans="1:15" ht="15" customHeight="1">
      <c r="A102" s="61"/>
      <c r="B102" s="55"/>
      <c r="C102" s="55"/>
      <c r="D102" s="55"/>
      <c r="E102" s="118"/>
      <c r="F102" s="118"/>
      <c r="G102" s="100"/>
      <c r="H102" s="100"/>
      <c r="I102" s="55"/>
      <c r="J102" s="55"/>
      <c r="K102" s="55"/>
      <c r="L102" s="55"/>
      <c r="M102" s="55"/>
      <c r="N102" s="55"/>
      <c r="O102" s="55"/>
    </row>
    <row r="103" spans="1:15" ht="15" customHeight="1">
      <c r="A103" s="61"/>
      <c r="B103" s="55"/>
      <c r="C103" s="55"/>
      <c r="D103" s="55"/>
      <c r="E103" s="118"/>
      <c r="F103" s="118"/>
      <c r="G103" s="100"/>
      <c r="H103" s="100"/>
      <c r="I103" s="55"/>
      <c r="J103" s="55"/>
      <c r="K103" s="55"/>
      <c r="L103" s="55"/>
      <c r="M103" s="55"/>
      <c r="N103" s="55"/>
      <c r="O103" s="55"/>
    </row>
    <row r="104" spans="1:15" ht="15" customHeight="1">
      <c r="A104" s="61"/>
      <c r="B104" s="55"/>
      <c r="C104" s="55"/>
      <c r="D104" s="55"/>
      <c r="E104" s="118"/>
      <c r="F104" s="118"/>
      <c r="G104" s="100"/>
      <c r="H104" s="100"/>
      <c r="I104" s="55"/>
      <c r="J104" s="55"/>
      <c r="K104" s="55"/>
      <c r="L104" s="55"/>
      <c r="M104" s="55"/>
      <c r="N104" s="55"/>
      <c r="O104" s="55"/>
    </row>
    <row r="105" spans="1:15" ht="15" customHeight="1">
      <c r="A105" s="55"/>
      <c r="B105" s="55"/>
      <c r="C105" s="55"/>
      <c r="D105" s="55"/>
      <c r="E105" s="50"/>
      <c r="F105" s="50"/>
      <c r="G105" s="55"/>
      <c r="H105" s="55"/>
      <c r="I105" s="55"/>
      <c r="J105" s="55"/>
      <c r="K105" s="55"/>
      <c r="L105" s="55"/>
      <c r="M105" s="55"/>
      <c r="N105" s="55"/>
      <c r="O105" s="55"/>
    </row>
    <row r="106" spans="1:15" ht="15" customHeight="1">
      <c r="A106" s="55"/>
      <c r="B106" s="55"/>
      <c r="C106" s="55"/>
      <c r="D106" s="55"/>
      <c r="E106" s="50"/>
      <c r="F106" s="50"/>
      <c r="G106" s="55"/>
      <c r="H106" s="55"/>
      <c r="I106" s="55"/>
      <c r="J106" s="55"/>
      <c r="K106" s="55"/>
      <c r="L106" s="55"/>
      <c r="M106" s="55"/>
      <c r="N106" s="55"/>
      <c r="O106" s="55"/>
    </row>
    <row r="107" spans="1:15" ht="15" customHeight="1">
      <c r="A107" s="55"/>
      <c r="B107" s="55"/>
      <c r="C107" s="55"/>
      <c r="D107" s="55"/>
      <c r="E107" s="50"/>
      <c r="F107" s="50"/>
      <c r="G107" s="55"/>
      <c r="H107" s="55"/>
      <c r="I107" s="55"/>
      <c r="J107" s="55"/>
      <c r="K107" s="55"/>
      <c r="L107" s="55"/>
      <c r="M107" s="55"/>
      <c r="N107" s="55"/>
      <c r="O107" s="55"/>
    </row>
    <row r="108" spans="1:15" ht="15" customHeight="1">
      <c r="A108" s="55"/>
      <c r="B108" s="55"/>
      <c r="C108" s="55"/>
      <c r="D108" s="55"/>
      <c r="E108" s="50"/>
      <c r="F108" s="55"/>
      <c r="G108" s="55"/>
      <c r="H108" s="55"/>
      <c r="I108" s="55"/>
      <c r="J108" s="55"/>
      <c r="K108" s="55"/>
      <c r="L108" s="55"/>
      <c r="M108" s="55"/>
      <c r="N108" s="55"/>
      <c r="O108" s="55"/>
    </row>
    <row r="109" spans="1:15" ht="15" customHeight="1">
      <c r="A109" s="55"/>
      <c r="B109" s="55"/>
      <c r="C109" s="55"/>
      <c r="D109" s="55"/>
      <c r="E109" s="50"/>
      <c r="F109" s="55"/>
      <c r="G109" s="55"/>
      <c r="H109" s="55"/>
      <c r="I109" s="55"/>
      <c r="J109" s="55"/>
      <c r="K109" s="55"/>
      <c r="L109" s="55"/>
      <c r="M109" s="55"/>
      <c r="N109" s="55"/>
      <c r="O109" s="55"/>
    </row>
    <row r="110" spans="1:15" ht="15" customHeight="1">
      <c r="A110" s="55"/>
      <c r="B110" s="55"/>
      <c r="C110" s="55"/>
      <c r="D110" s="55"/>
      <c r="E110" s="50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 spans="1:15" ht="15" customHeight="1">
      <c r="A111" s="55"/>
      <c r="B111" s="55"/>
      <c r="C111" s="55"/>
      <c r="D111" s="55"/>
      <c r="E111" s="50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 spans="1:15" ht="15" customHeight="1">
      <c r="A112" s="55"/>
      <c r="B112" s="55"/>
      <c r="C112" s="55"/>
      <c r="D112" s="55"/>
      <c r="E112" s="50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 spans="1:15" ht="15" customHeight="1">
      <c r="A113" s="55"/>
      <c r="B113" s="55"/>
      <c r="C113" s="55"/>
      <c r="D113" s="55"/>
      <c r="E113" s="50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 spans="1:15" ht="15" customHeight="1">
      <c r="A114" s="55"/>
      <c r="B114" s="55"/>
      <c r="C114" s="55"/>
      <c r="D114" s="55"/>
      <c r="E114" s="50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 spans="1:15" ht="15" customHeight="1">
      <c r="A115" s="55"/>
      <c r="B115" s="55"/>
      <c r="C115" s="55"/>
      <c r="D115" s="55"/>
      <c r="E115" s="50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 spans="1:15" ht="15" customHeight="1">
      <c r="A116" s="55"/>
      <c r="B116" s="55"/>
      <c r="C116" s="55"/>
      <c r="D116" s="55"/>
      <c r="E116" s="50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 spans="1:15" ht="15" customHeight="1">
      <c r="A117" s="55"/>
      <c r="B117" s="55"/>
      <c r="C117" s="55"/>
      <c r="D117" s="55"/>
      <c r="E117" s="50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 spans="1:15" ht="15" customHeight="1">
      <c r="A118" s="55"/>
      <c r="B118" s="55"/>
      <c r="C118" s="55"/>
      <c r="D118" s="55"/>
      <c r="E118" s="50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 spans="1:15" ht="15" customHeight="1">
      <c r="A119" s="55"/>
      <c r="B119" s="55"/>
      <c r="C119" s="55"/>
      <c r="D119" s="55"/>
      <c r="E119" s="50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spans="1:15" ht="15" customHeight="1">
      <c r="A120" s="55"/>
      <c r="B120" s="55"/>
      <c r="C120" s="55"/>
      <c r="D120" s="55"/>
      <c r="E120" s="50"/>
      <c r="F120" s="55"/>
      <c r="G120" s="55"/>
      <c r="H120" s="55"/>
      <c r="I120" s="55"/>
      <c r="J120" s="55"/>
      <c r="K120" s="55"/>
      <c r="L120" s="55"/>
      <c r="M120" s="55"/>
      <c r="N120" s="55"/>
      <c r="O120" s="55"/>
    </row>
    <row r="121" spans="1:15" ht="15" customHeight="1">
      <c r="A121" s="55"/>
      <c r="B121" s="55"/>
      <c r="C121" s="55"/>
      <c r="D121" s="55"/>
      <c r="E121" s="50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 spans="1:15" ht="15" customHeight="1">
      <c r="A122" s="55"/>
      <c r="B122" s="55"/>
      <c r="C122" s="55"/>
      <c r="D122" s="55"/>
      <c r="E122" s="50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 spans="1:15" ht="15" customHeight="1">
      <c r="A123" s="55"/>
      <c r="B123" s="55"/>
      <c r="C123" s="55"/>
      <c r="D123" s="55"/>
      <c r="E123" s="50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 spans="1:15" ht="15" customHeight="1">
      <c r="A124" s="55"/>
      <c r="B124" s="55"/>
      <c r="C124" s="55"/>
      <c r="D124" s="55"/>
      <c r="E124" s="50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 spans="1:15" ht="15" customHeight="1">
      <c r="A125" s="55"/>
      <c r="B125" s="55"/>
      <c r="C125" s="55"/>
      <c r="D125" s="55"/>
      <c r="E125" s="50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 spans="1:15" ht="15" customHeight="1">
      <c r="A126" s="55"/>
      <c r="B126" s="55"/>
      <c r="C126" s="55"/>
      <c r="D126" s="55"/>
      <c r="E126" s="50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 spans="1:15" ht="15" customHeight="1">
      <c r="A127" s="55"/>
      <c r="B127" s="55"/>
      <c r="C127" s="55"/>
      <c r="D127" s="55"/>
      <c r="E127" s="50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spans="1:15" ht="15" customHeight="1">
      <c r="A128" s="55"/>
      <c r="B128" s="55"/>
      <c r="C128" s="55"/>
      <c r="D128" s="55"/>
      <c r="E128" s="50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spans="1:15" ht="15" customHeight="1">
      <c r="A129" s="55"/>
      <c r="B129" s="55"/>
      <c r="C129" s="55"/>
      <c r="D129" s="55"/>
      <c r="E129" s="50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 spans="1:15" ht="15" customHeight="1">
      <c r="A130" s="55"/>
      <c r="B130" s="55"/>
      <c r="C130" s="55"/>
      <c r="D130" s="55"/>
      <c r="E130" s="50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 spans="1:15" ht="15" customHeight="1">
      <c r="A131" s="55"/>
      <c r="B131" s="55"/>
      <c r="C131" s="55"/>
      <c r="D131" s="55"/>
      <c r="E131" s="50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 spans="1:15" ht="15" customHeight="1">
      <c r="A132" s="55"/>
      <c r="B132" s="55"/>
      <c r="C132" s="55"/>
      <c r="D132" s="55"/>
      <c r="E132" s="50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 spans="1:15" ht="14.25">
      <c r="A133" s="55"/>
      <c r="B133" s="55"/>
      <c r="C133" s="55"/>
      <c r="D133" s="55"/>
      <c r="E133" s="50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 spans="1:15" ht="14.25">
      <c r="A134" s="55"/>
      <c r="B134" s="55"/>
      <c r="C134" s="55"/>
      <c r="D134" s="55"/>
      <c r="E134" s="50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 spans="1:15" ht="14.25">
      <c r="A135" s="55"/>
      <c r="B135" s="55"/>
      <c r="C135" s="55"/>
      <c r="D135" s="55"/>
      <c r="E135" s="50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 spans="1:15" ht="14.25">
      <c r="A136" s="55"/>
      <c r="B136" s="55"/>
      <c r="C136" s="55"/>
      <c r="D136" s="55"/>
      <c r="E136" s="50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 spans="1:15" ht="14.25">
      <c r="A137" s="55"/>
      <c r="B137" s="55"/>
      <c r="C137" s="55"/>
      <c r="D137" s="55"/>
      <c r="E137" s="50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 spans="1:15" ht="14.25">
      <c r="A138" s="55"/>
      <c r="B138" s="55"/>
      <c r="C138" s="55"/>
      <c r="D138" s="55"/>
      <c r="E138" s="50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 spans="1:15" ht="14.25">
      <c r="A139" s="55"/>
      <c r="B139" s="55"/>
      <c r="C139" s="55"/>
      <c r="D139" s="55"/>
      <c r="E139" s="50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 spans="1:15" ht="14.25">
      <c r="A140" s="55"/>
      <c r="B140" s="55"/>
      <c r="C140" s="55"/>
      <c r="D140" s="55"/>
      <c r="E140" s="50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 spans="1:15" ht="14.25">
      <c r="A141" s="55"/>
      <c r="B141" s="55"/>
      <c r="C141" s="55"/>
      <c r="D141" s="55"/>
      <c r="E141" s="50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 spans="1:15" ht="14.25">
      <c r="A142" s="55"/>
      <c r="B142" s="55"/>
      <c r="C142" s="55"/>
      <c r="D142" s="55"/>
      <c r="E142" s="50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 spans="1:15" ht="14.25">
      <c r="A143" s="55"/>
      <c r="B143" s="55"/>
      <c r="C143" s="55"/>
      <c r="D143" s="55"/>
      <c r="E143" s="50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 spans="1:15" ht="14.25">
      <c r="A144" s="55"/>
      <c r="B144" s="55"/>
      <c r="C144" s="55"/>
      <c r="D144" s="55"/>
      <c r="E144" s="50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 spans="1:15" ht="14.25">
      <c r="A145" s="55"/>
      <c r="B145" s="55"/>
      <c r="C145" s="55"/>
      <c r="D145" s="55"/>
      <c r="E145" s="50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 spans="1:15" ht="14.25">
      <c r="A146" s="55"/>
      <c r="B146" s="55"/>
      <c r="C146" s="55"/>
      <c r="D146" s="55"/>
      <c r="E146" s="50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 spans="1:15" ht="14.25">
      <c r="A147" s="55"/>
      <c r="B147" s="55"/>
      <c r="C147" s="55"/>
      <c r="D147" s="55"/>
      <c r="E147" s="50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 spans="1:15" ht="14.25">
      <c r="A148" s="55"/>
      <c r="B148" s="55"/>
      <c r="C148" s="55"/>
      <c r="D148" s="55"/>
      <c r="E148" s="50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 spans="1:15" ht="14.25">
      <c r="A149" s="55"/>
      <c r="B149" s="55"/>
      <c r="C149" s="55"/>
      <c r="D149" s="55"/>
      <c r="E149" s="50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 spans="1:15" ht="14.25">
      <c r="A150" s="55"/>
      <c r="B150" s="55"/>
      <c r="C150" s="55"/>
      <c r="D150" s="55"/>
      <c r="E150" s="50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 spans="1:15" ht="14.25">
      <c r="A151" s="55"/>
      <c r="B151" s="55"/>
      <c r="C151" s="55"/>
      <c r="D151" s="55"/>
      <c r="E151" s="50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 spans="1:15" ht="14.25">
      <c r="A152" s="55"/>
      <c r="B152" s="55"/>
      <c r="C152" s="55"/>
      <c r="D152" s="55"/>
      <c r="E152" s="50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 spans="1:15" ht="14.25">
      <c r="A153" s="55"/>
      <c r="B153" s="55"/>
      <c r="C153" s="55"/>
      <c r="D153" s="55"/>
      <c r="E153" s="50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spans="1:15" ht="14.25">
      <c r="A154" s="55"/>
      <c r="B154" s="55"/>
      <c r="C154" s="55"/>
      <c r="D154" s="55"/>
      <c r="E154" s="50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spans="1:15" ht="14.25">
      <c r="A155" s="55"/>
      <c r="B155" s="55"/>
      <c r="C155" s="55"/>
      <c r="D155" s="55"/>
      <c r="E155" s="50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 spans="1:15" ht="14.25">
      <c r="A156" s="55"/>
      <c r="B156" s="55"/>
      <c r="C156" s="55"/>
      <c r="D156" s="55"/>
      <c r="E156" s="50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spans="1:15" ht="14.25">
      <c r="A157" s="55"/>
      <c r="B157" s="55"/>
      <c r="C157" s="55"/>
      <c r="D157" s="55"/>
      <c r="E157" s="50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spans="1:15" ht="14.25">
      <c r="A158" s="55"/>
      <c r="B158" s="55"/>
      <c r="C158" s="55"/>
      <c r="D158" s="55"/>
      <c r="E158" s="50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spans="1:15" ht="14.25">
      <c r="A159" s="55"/>
      <c r="B159" s="55"/>
      <c r="C159" s="55"/>
      <c r="D159" s="55"/>
      <c r="E159" s="50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spans="1:15" ht="14.25">
      <c r="A160" s="55"/>
      <c r="B160" s="55"/>
      <c r="C160" s="55"/>
      <c r="D160" s="55"/>
      <c r="E160" s="50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spans="1:15" ht="14.25">
      <c r="A161" s="55"/>
      <c r="B161" s="55"/>
      <c r="C161" s="55"/>
      <c r="D161" s="55"/>
      <c r="E161" s="50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spans="1:15" ht="14.25">
      <c r="A162" s="55"/>
      <c r="B162" s="55"/>
      <c r="C162" s="55"/>
      <c r="D162" s="55"/>
      <c r="E162" s="50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spans="1:15" ht="14.25">
      <c r="A163" s="55"/>
      <c r="B163" s="55"/>
      <c r="C163" s="55"/>
      <c r="D163" s="55"/>
      <c r="E163" s="50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spans="1:15" ht="14.25">
      <c r="A164" s="55"/>
      <c r="B164" s="55"/>
      <c r="C164" s="55"/>
      <c r="D164" s="55"/>
      <c r="E164" s="50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spans="1:15" ht="14.25">
      <c r="A165" s="55"/>
      <c r="B165" s="55"/>
      <c r="C165" s="55"/>
      <c r="D165" s="55"/>
      <c r="E165" s="50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spans="1:15" ht="14.25">
      <c r="A166" s="55"/>
      <c r="B166" s="55"/>
      <c r="C166" s="55"/>
      <c r="D166" s="55"/>
      <c r="E166" s="50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spans="1:15" ht="14.25">
      <c r="A167" s="55"/>
      <c r="B167" s="55"/>
      <c r="C167" s="55"/>
      <c r="D167" s="55"/>
      <c r="E167" s="50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spans="1:15" ht="14.25">
      <c r="A168" s="55"/>
      <c r="B168" s="55"/>
      <c r="C168" s="55"/>
      <c r="D168" s="55"/>
      <c r="E168" s="50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spans="1:15" ht="14.25">
      <c r="A169" s="55"/>
      <c r="B169" s="55"/>
      <c r="C169" s="55"/>
      <c r="D169" s="55"/>
      <c r="E169" s="50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spans="1:15" ht="14.25">
      <c r="A170" s="55"/>
      <c r="B170" s="55"/>
      <c r="C170" s="55"/>
      <c r="D170" s="55"/>
      <c r="E170" s="50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spans="1:15" ht="14.25">
      <c r="A171" s="55"/>
      <c r="B171" s="55"/>
      <c r="C171" s="55"/>
      <c r="D171" s="55"/>
      <c r="E171" s="50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spans="1:15" ht="14.25">
      <c r="A172" s="55"/>
      <c r="B172" s="55"/>
      <c r="C172" s="55"/>
      <c r="D172" s="55"/>
      <c r="E172" s="50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spans="1:15" ht="14.25">
      <c r="A173" s="55"/>
      <c r="B173" s="55"/>
      <c r="C173" s="55"/>
      <c r="D173" s="55"/>
      <c r="E173" s="50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 spans="1:15" ht="14.25">
      <c r="A174" s="55"/>
      <c r="B174" s="55"/>
      <c r="C174" s="55"/>
      <c r="D174" s="55"/>
      <c r="E174" s="50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 spans="1:15" ht="14.25">
      <c r="A175" s="55"/>
      <c r="B175" s="55"/>
      <c r="C175" s="55"/>
      <c r="D175" s="55"/>
      <c r="E175" s="50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 spans="1:15" ht="14.25">
      <c r="A176" s="55"/>
      <c r="B176" s="55"/>
      <c r="C176" s="55"/>
      <c r="D176" s="55"/>
      <c r="E176" s="50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 spans="1:15" ht="14.25">
      <c r="A177" s="55"/>
      <c r="B177" s="55"/>
      <c r="C177" s="55"/>
      <c r="D177" s="55"/>
      <c r="E177" s="50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 spans="1:15" ht="14.25">
      <c r="A178" s="55"/>
      <c r="B178" s="55"/>
      <c r="C178" s="55"/>
      <c r="D178" s="55"/>
      <c r="E178" s="50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 spans="1:15" ht="14.25">
      <c r="A179" s="55"/>
      <c r="B179" s="55"/>
      <c r="C179" s="55"/>
      <c r="D179" s="55"/>
      <c r="E179" s="50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spans="1:15" ht="14.25">
      <c r="A180" s="55"/>
      <c r="B180" s="55"/>
      <c r="C180" s="55"/>
      <c r="D180" s="55"/>
      <c r="E180" s="50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spans="1:15" ht="14.25">
      <c r="A181" s="55"/>
      <c r="B181" s="55"/>
      <c r="C181" s="55"/>
      <c r="D181" s="55"/>
      <c r="E181" s="50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spans="1:15" ht="14.25">
      <c r="A182" s="55"/>
      <c r="B182" s="55"/>
      <c r="C182" s="55"/>
      <c r="D182" s="55"/>
      <c r="E182" s="50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spans="1:15" ht="14.25">
      <c r="A183" s="55"/>
      <c r="B183" s="55"/>
      <c r="C183" s="55"/>
      <c r="D183" s="55"/>
      <c r="E183" s="50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spans="1:15" ht="14.25">
      <c r="A184" s="55"/>
      <c r="B184" s="55"/>
      <c r="C184" s="55"/>
      <c r="D184" s="55"/>
      <c r="E184" s="50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spans="1:15" ht="14.25">
      <c r="A185" s="55"/>
      <c r="B185" s="55"/>
      <c r="C185" s="55"/>
      <c r="D185" s="55"/>
      <c r="E185" s="50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spans="1:15" ht="14.25">
      <c r="A186" s="55"/>
      <c r="B186" s="55"/>
      <c r="C186" s="55"/>
      <c r="D186" s="55"/>
      <c r="E186" s="50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 spans="1:15" ht="14.25">
      <c r="A187" s="55"/>
      <c r="B187" s="55"/>
      <c r="C187" s="55"/>
      <c r="D187" s="55"/>
      <c r="E187" s="50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 spans="1:15" ht="14.25">
      <c r="A188" s="55"/>
      <c r="B188" s="55"/>
      <c r="C188" s="55"/>
      <c r="D188" s="55"/>
      <c r="E188" s="50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 spans="1:15" ht="14.25">
      <c r="A189" s="55"/>
      <c r="B189" s="55"/>
      <c r="C189" s="55"/>
      <c r="D189" s="55"/>
      <c r="E189" s="50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 spans="1:15" ht="14.25">
      <c r="A190" s="55"/>
      <c r="B190" s="55"/>
      <c r="C190" s="55"/>
      <c r="D190" s="55"/>
      <c r="E190" s="50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 spans="1:15" ht="14.25">
      <c r="A191" s="55"/>
      <c r="B191" s="55"/>
      <c r="C191" s="55"/>
      <c r="D191" s="55"/>
      <c r="E191" s="50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 spans="1:15" ht="14.25">
      <c r="A192" s="55"/>
      <c r="B192" s="55"/>
      <c r="C192" s="55"/>
      <c r="D192" s="55"/>
      <c r="E192" s="50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 spans="1:15" ht="14.25">
      <c r="A193" s="55"/>
      <c r="B193" s="55"/>
      <c r="C193" s="55"/>
      <c r="D193" s="55"/>
      <c r="E193" s="50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 spans="1:15" ht="14.25">
      <c r="A194" s="55"/>
      <c r="B194" s="55"/>
      <c r="C194" s="55"/>
      <c r="D194" s="55"/>
      <c r="E194" s="50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 spans="1:15" ht="14.25">
      <c r="A195" s="55"/>
      <c r="B195" s="55"/>
      <c r="C195" s="55"/>
      <c r="D195" s="55"/>
      <c r="E195" s="50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 spans="1:15" ht="14.25">
      <c r="A196" s="55"/>
      <c r="B196" s="55"/>
      <c r="C196" s="55"/>
      <c r="D196" s="55"/>
      <c r="E196" s="50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 spans="1:15" ht="14.25">
      <c r="A197" s="55"/>
      <c r="B197" s="55"/>
      <c r="C197" s="55"/>
      <c r="D197" s="55"/>
      <c r="E197" s="50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 spans="1:15" ht="14.25">
      <c r="A198" s="55"/>
      <c r="B198" s="55"/>
      <c r="C198" s="55"/>
      <c r="D198" s="55"/>
      <c r="E198" s="50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 spans="1:15" ht="14.25">
      <c r="A199" s="55"/>
      <c r="B199" s="55"/>
      <c r="C199" s="55"/>
      <c r="D199" s="55"/>
      <c r="E199" s="50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 spans="1:15" ht="14.25">
      <c r="A200" s="55"/>
      <c r="B200" s="55"/>
      <c r="C200" s="55"/>
      <c r="D200" s="55"/>
      <c r="E200" s="50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 spans="1:15" ht="14.25">
      <c r="A201" s="55"/>
      <c r="B201" s="55"/>
      <c r="C201" s="55"/>
      <c r="D201" s="55"/>
      <c r="E201" s="50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 spans="1:15" ht="14.25">
      <c r="A202" s="55"/>
      <c r="B202" s="55"/>
      <c r="C202" s="55"/>
      <c r="D202" s="55"/>
      <c r="E202" s="50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 spans="1:15" ht="14.25">
      <c r="A203" s="55"/>
      <c r="B203" s="55"/>
      <c r="C203" s="55"/>
      <c r="D203" s="55"/>
      <c r="E203" s="50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spans="1:15" ht="14.25">
      <c r="A204" s="55"/>
      <c r="B204" s="55"/>
      <c r="C204" s="55"/>
      <c r="D204" s="55"/>
      <c r="E204" s="50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spans="1:15" ht="14.25">
      <c r="A205" s="55"/>
      <c r="B205" s="55"/>
      <c r="C205" s="55"/>
      <c r="D205" s="55"/>
      <c r="E205" s="50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 spans="1:15" ht="14.25">
      <c r="A206" s="55"/>
      <c r="B206" s="55"/>
      <c r="C206" s="55"/>
      <c r="D206" s="55"/>
      <c r="E206" s="50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 spans="1:15" ht="14.25">
      <c r="A207" s="55"/>
      <c r="B207" s="55"/>
      <c r="C207" s="55"/>
      <c r="D207" s="55"/>
      <c r="E207" s="50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 spans="1:15" ht="14.25">
      <c r="A208" s="55"/>
      <c r="B208" s="55"/>
      <c r="C208" s="55"/>
      <c r="D208" s="55"/>
      <c r="E208" s="50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 spans="1:21" ht="14.25">
      <c r="A209" s="55"/>
      <c r="B209" s="55"/>
      <c r="C209" s="55"/>
      <c r="D209" s="55"/>
      <c r="E209" s="50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 spans="1:21" ht="14.25">
      <c r="A210" s="55"/>
      <c r="B210" s="55"/>
      <c r="C210" s="55"/>
      <c r="D210" s="55"/>
      <c r="E210" s="50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spans="1:21" ht="14.25">
      <c r="A211" s="55"/>
      <c r="B211" s="55"/>
      <c r="C211" s="55"/>
      <c r="D211" s="55"/>
      <c r="E211" s="50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spans="1:21" ht="14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spans="1:21" ht="14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spans="1:21" ht="14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spans="1:21" ht="14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spans="1:21" ht="14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spans="1:21" ht="14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spans="1:21" ht="14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spans="1:21" ht="14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spans="1:21" ht="14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spans="1:21" ht="14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</row>
    <row r="222" spans="1:21" ht="14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</row>
    <row r="223" spans="1:21" ht="14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</row>
    <row r="224" spans="1:21" ht="14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T224" s="55"/>
      <c r="U224" s="55"/>
    </row>
    <row r="225" spans="1:23" ht="14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T225" s="55"/>
      <c r="U225" s="55"/>
    </row>
    <row r="226" spans="1:23" ht="14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</row>
    <row r="227" spans="1:23" ht="14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</row>
    <row r="228" spans="1:23" ht="14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</row>
    <row r="229" spans="1:23" ht="14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</row>
    <row r="230" spans="1:23" ht="14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</row>
    <row r="231" spans="1:23" ht="14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</row>
    <row r="232" spans="1:23" ht="14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</row>
    <row r="233" spans="1:23" ht="14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</row>
    <row r="234" spans="1:23" ht="14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</row>
    <row r="235" spans="1:23" ht="14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</row>
    <row r="236" spans="1:23" ht="14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</row>
    <row r="237" spans="1:23" ht="14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</row>
    <row r="238" spans="1:23" ht="14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</row>
    <row r="239" spans="1:23" ht="14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</row>
    <row r="240" spans="1:23" ht="14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 spans="1:31" ht="14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 spans="1:31" ht="14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 spans="1:31" ht="14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 spans="1:31" ht="14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 spans="1:31" ht="14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 spans="1:31" ht="14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 spans="1:31" ht="14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</row>
    <row r="248" spans="1:31" ht="14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 spans="1:31" ht="14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</row>
    <row r="250" spans="1:31" ht="14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</row>
    <row r="251" spans="1:31" ht="14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</row>
    <row r="252" spans="1:31" ht="1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1"/>
    </row>
    <row r="253" spans="1:31" ht="1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1"/>
    </row>
    <row r="254" spans="1:31" ht="1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1"/>
    </row>
    <row r="255" spans="1:31" ht="1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1"/>
    </row>
    <row r="256" spans="1:31" ht="1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1"/>
    </row>
    <row r="257" spans="1:31" ht="1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1"/>
    </row>
    <row r="258" spans="1:31" ht="1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1"/>
    </row>
    <row r="259" spans="1:31" ht="1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1"/>
    </row>
    <row r="260" spans="1:31" ht="1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1"/>
    </row>
    <row r="261" spans="1:31" ht="1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1"/>
    </row>
    <row r="262" spans="1:31" ht="1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1"/>
    </row>
    <row r="263" spans="1:31" ht="1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1"/>
    </row>
    <row r="264" spans="1:31" ht="1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1"/>
    </row>
    <row r="265" spans="1:31" ht="1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1"/>
    </row>
    <row r="266" spans="1:31" ht="1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1"/>
    </row>
    <row r="267" spans="1:31" ht="1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1"/>
    </row>
    <row r="268" spans="1:31" ht="1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1"/>
    </row>
    <row r="269" spans="1:31" ht="1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1"/>
    </row>
    <row r="270" spans="1:31" ht="1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1"/>
    </row>
    <row r="271" spans="1:31" ht="1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1"/>
    </row>
    <row r="272" spans="1:31" ht="1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1"/>
    </row>
    <row r="273" spans="1:31" ht="1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1"/>
    </row>
    <row r="274" spans="1:31" ht="1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1"/>
    </row>
    <row r="275" spans="1:31" ht="1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1"/>
    </row>
    <row r="276" spans="1:31" ht="1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1"/>
    </row>
    <row r="277" spans="1:31" ht="1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1"/>
    </row>
    <row r="278" spans="1:31" ht="1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1"/>
    </row>
    <row r="279" spans="1:31" ht="1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1"/>
    </row>
    <row r="280" spans="1:31" ht="1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1"/>
    </row>
    <row r="281" spans="1:31" ht="1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1"/>
    </row>
    <row r="282" spans="1:31" ht="1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1"/>
    </row>
    <row r="283" spans="1:31" ht="1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1"/>
    </row>
    <row r="284" spans="1:31" ht="1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1"/>
    </row>
    <row r="285" spans="1:31" ht="1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1"/>
    </row>
    <row r="286" spans="1:31" ht="1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1"/>
    </row>
    <row r="287" spans="1:31" ht="1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1"/>
    </row>
    <row r="288" spans="1:31" ht="1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1"/>
    </row>
    <row r="289" spans="1:31" ht="1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1"/>
    </row>
    <row r="290" spans="1:31" ht="1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1"/>
    </row>
    <row r="291" spans="1:31" ht="1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1"/>
    </row>
    <row r="292" spans="1:31" ht="1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1"/>
    </row>
    <row r="293" spans="1:31" ht="1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1"/>
    </row>
    <row r="294" spans="1:31" ht="1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1"/>
    </row>
    <row r="295" spans="1:31" ht="1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1"/>
    </row>
    <row r="296" spans="1:31" ht="1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1"/>
    </row>
    <row r="297" spans="1:31" ht="1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1"/>
    </row>
    <row r="298" spans="1:31" ht="1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1"/>
    </row>
    <row r="299" spans="1:31" ht="1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1"/>
    </row>
    <row r="300" spans="1:31" ht="1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1"/>
    </row>
    <row r="301" spans="1:31" ht="1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1"/>
    </row>
    <row r="302" spans="1:31" ht="1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1"/>
    </row>
    <row r="303" spans="1:31" ht="1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1"/>
    </row>
    <row r="304" spans="1:31" ht="1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1"/>
    </row>
    <row r="305" spans="1:31" ht="1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1"/>
    </row>
    <row r="306" spans="1:31" ht="1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1"/>
    </row>
    <row r="307" spans="1:31" ht="1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1"/>
    </row>
    <row r="308" spans="1:31" ht="1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1"/>
    </row>
    <row r="309" spans="1:31" ht="1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1"/>
    </row>
    <row r="310" spans="1:31" ht="1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1"/>
    </row>
    <row r="311" spans="1:31" ht="1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1"/>
    </row>
    <row r="312" spans="1:31" ht="1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1"/>
    </row>
    <row r="313" spans="1:31" ht="1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1"/>
    </row>
    <row r="314" spans="1:31" ht="1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1"/>
    </row>
    <row r="315" spans="1:31" ht="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1"/>
    </row>
    <row r="316" spans="1:31" ht="1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1"/>
    </row>
    <row r="317" spans="1:31" ht="1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1"/>
    </row>
    <row r="318" spans="1:31" ht="1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1"/>
    </row>
    <row r="319" spans="1:31" ht="1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1"/>
    </row>
    <row r="320" spans="1:31" ht="1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1"/>
    </row>
    <row r="321" spans="1:31" ht="1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1"/>
    </row>
    <row r="322" spans="1:31" ht="1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1"/>
    </row>
    <row r="323" spans="1:31" ht="1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1"/>
    </row>
    <row r="324" spans="1:31" ht="1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1"/>
    </row>
    <row r="325" spans="1:31" ht="1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1"/>
    </row>
    <row r="326" spans="1:31" ht="1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1"/>
    </row>
    <row r="327" spans="1:31" ht="1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1"/>
    </row>
    <row r="328" spans="1:31" ht="1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1"/>
    </row>
    <row r="329" spans="1:31" ht="1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1"/>
    </row>
    <row r="330" spans="1:31" ht="1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1"/>
    </row>
    <row r="331" spans="1:31" ht="1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1"/>
    </row>
    <row r="332" spans="1:31" ht="1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1"/>
    </row>
    <row r="333" spans="1:31" ht="1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1"/>
    </row>
    <row r="334" spans="1:31" ht="1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1"/>
    </row>
    <row r="335" spans="1:31" ht="1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1"/>
    </row>
    <row r="336" spans="1:31" ht="1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1"/>
    </row>
    <row r="337" spans="1:31" ht="1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1"/>
    </row>
    <row r="338" spans="1:31" ht="1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1"/>
    </row>
    <row r="339" spans="1:31" ht="1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1"/>
    </row>
    <row r="340" spans="1:31" ht="1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1"/>
    </row>
    <row r="341" spans="1:31" ht="1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1"/>
    </row>
    <row r="342" spans="1:31" ht="1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1"/>
    </row>
    <row r="343" spans="1:31" ht="1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1"/>
    </row>
    <row r="344" spans="1:31" ht="1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1"/>
    </row>
    <row r="345" spans="1:31" ht="1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1"/>
    </row>
    <row r="346" spans="1:31" ht="1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1"/>
    </row>
    <row r="347" spans="1:31" ht="1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1"/>
    </row>
    <row r="348" spans="1:31" ht="1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1"/>
    </row>
    <row r="349" spans="1:31" ht="1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1"/>
    </row>
    <row r="350" spans="1:31" ht="1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1"/>
    </row>
    <row r="351" spans="1:31" ht="1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1"/>
    </row>
    <row r="352" spans="1:31" ht="1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1"/>
    </row>
    <row r="353" spans="1:31" ht="1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1"/>
    </row>
    <row r="354" spans="1:31" ht="1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1"/>
    </row>
    <row r="355" spans="1:31" ht="1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1"/>
    </row>
    <row r="356" spans="1:31" ht="1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1"/>
    </row>
    <row r="357" spans="1:31" ht="1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1"/>
    </row>
    <row r="358" spans="1:31" ht="1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1"/>
    </row>
    <row r="359" spans="1:31" ht="1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1"/>
    </row>
    <row r="360" spans="1:31" ht="1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1"/>
    </row>
    <row r="361" spans="1:31" ht="1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1"/>
    </row>
    <row r="362" spans="1:31" ht="1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1"/>
    </row>
    <row r="363" spans="1:31" ht="1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1"/>
    </row>
    <row r="364" spans="1:31" ht="1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1"/>
    </row>
    <row r="365" spans="1:31" ht="1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1"/>
    </row>
    <row r="366" spans="1:31" ht="1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1"/>
    </row>
    <row r="367" spans="1:31" ht="1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1"/>
    </row>
    <row r="368" spans="1:31" ht="1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1"/>
    </row>
    <row r="369" spans="1:31" ht="1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1"/>
    </row>
    <row r="370" spans="1:31" ht="1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1"/>
    </row>
    <row r="371" spans="1:31" ht="1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1"/>
    </row>
    <row r="372" spans="1:31" ht="1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1"/>
    </row>
    <row r="373" spans="1:31" ht="1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1"/>
    </row>
    <row r="374" spans="1:31" ht="1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1"/>
    </row>
    <row r="375" spans="1:31" ht="1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1"/>
    </row>
    <row r="376" spans="1:31" ht="1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1"/>
    </row>
    <row r="377" spans="1:31" ht="1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1"/>
    </row>
    <row r="378" spans="1:31" ht="1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1"/>
    </row>
    <row r="379" spans="1:31" ht="1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1"/>
    </row>
    <row r="380" spans="1:31" ht="1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1"/>
    </row>
    <row r="381" spans="1:31" ht="1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1"/>
    </row>
    <row r="382" spans="1:31" ht="1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1"/>
    </row>
    <row r="383" spans="1:31" ht="1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1"/>
    </row>
    <row r="384" spans="1:31" ht="1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1"/>
    </row>
    <row r="385" spans="1:31" ht="1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1"/>
    </row>
    <row r="386" spans="1:31" ht="1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1"/>
    </row>
    <row r="387" spans="1:31" ht="1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1"/>
    </row>
    <row r="388" spans="1:31" ht="1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1"/>
    </row>
    <row r="389" spans="1:31" ht="1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1"/>
    </row>
    <row r="390" spans="1:31" ht="1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1"/>
    </row>
    <row r="391" spans="1:31" ht="1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1"/>
    </row>
    <row r="392" spans="1:31" ht="1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1"/>
    </row>
    <row r="393" spans="1:31" ht="1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1"/>
    </row>
    <row r="394" spans="1:31" ht="1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1"/>
    </row>
    <row r="395" spans="1:31" ht="1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1"/>
    </row>
    <row r="396" spans="1:31" ht="1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1"/>
    </row>
    <row r="397" spans="1:31" ht="1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1"/>
    </row>
    <row r="398" spans="1:31" ht="1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1"/>
    </row>
    <row r="399" spans="1:31" ht="1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1"/>
    </row>
    <row r="400" spans="1:31" ht="1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1"/>
    </row>
    <row r="401" spans="1:31" ht="1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1"/>
    </row>
    <row r="402" spans="1:31" ht="1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1"/>
    </row>
    <row r="403" spans="1:31" ht="1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1"/>
    </row>
    <row r="404" spans="1:31" ht="1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1"/>
    </row>
    <row r="405" spans="1:31" ht="1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1"/>
    </row>
    <row r="406" spans="1:31" ht="1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1"/>
    </row>
    <row r="407" spans="1:31" ht="1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1"/>
    </row>
    <row r="408" spans="1:31" ht="1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1"/>
    </row>
    <row r="409" spans="1:31" ht="1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1"/>
    </row>
    <row r="410" spans="1:31" ht="1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1"/>
    </row>
    <row r="411" spans="1:31" ht="1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1"/>
    </row>
    <row r="412" spans="1:31" ht="1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1"/>
    </row>
    <row r="413" spans="1:31" ht="1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1"/>
    </row>
    <row r="414" spans="1:31" ht="1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1"/>
    </row>
    <row r="415" spans="1:31" ht="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1"/>
    </row>
    <row r="416" spans="1:31" ht="1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1"/>
    </row>
    <row r="417" spans="1:31" ht="1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1"/>
    </row>
    <row r="418" spans="1:31" ht="1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1"/>
    </row>
    <row r="419" spans="1:31" ht="1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1"/>
    </row>
    <row r="420" spans="1:31" ht="1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1"/>
    </row>
    <row r="421" spans="1:31" ht="1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1"/>
    </row>
    <row r="422" spans="1:31" ht="1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1"/>
    </row>
    <row r="423" spans="1:31" ht="1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1"/>
    </row>
    <row r="424" spans="1:31" ht="1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1"/>
    </row>
    <row r="425" spans="1:31" ht="15">
      <c r="A425" s="1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1"/>
    </row>
    <row r="426" spans="1:31" ht="15">
      <c r="A426" s="1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1"/>
    </row>
    <row r="427" spans="1:31" ht="15">
      <c r="A427" s="1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1"/>
    </row>
    <row r="428" spans="1:31" ht="15">
      <c r="A428" s="1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1"/>
    </row>
    <row r="429" spans="1:31" ht="15">
      <c r="A429" s="1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1"/>
    </row>
    <row r="430" spans="1:31" ht="15">
      <c r="A430" s="1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1"/>
    </row>
    <row r="431" spans="1:31" ht="15">
      <c r="A431" s="1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1"/>
    </row>
    <row r="432" spans="1:31" ht="15">
      <c r="A432" s="1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1"/>
    </row>
    <row r="433" spans="1:31" ht="15">
      <c r="A433" s="1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1"/>
    </row>
    <row r="434" spans="1:31" ht="15">
      <c r="A434" s="1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1"/>
    </row>
    <row r="435" spans="1:31" ht="15">
      <c r="A435" s="1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1"/>
    </row>
    <row r="436" spans="1:31" ht="15">
      <c r="A436" s="1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1"/>
    </row>
    <row r="437" spans="1:31" ht="15">
      <c r="A437" s="1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1"/>
    </row>
    <row r="438" spans="1:31" ht="15">
      <c r="A438" s="1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1"/>
    </row>
    <row r="439" spans="1:31" ht="15">
      <c r="A439" s="1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1"/>
    </row>
    <row r="440" spans="1:31" ht="15">
      <c r="A440" s="1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1"/>
    </row>
    <row r="441" spans="1:31" ht="15">
      <c r="A441" s="1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1"/>
    </row>
    <row r="442" spans="1:31" ht="15">
      <c r="A442" s="1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1"/>
    </row>
    <row r="443" spans="1:31" ht="15">
      <c r="A443" s="1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1"/>
    </row>
    <row r="444" spans="1:31" ht="15">
      <c r="A444" s="1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1"/>
    </row>
    <row r="445" spans="1:31" ht="15">
      <c r="A445" s="1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1"/>
    </row>
    <row r="446" spans="1:31" ht="15">
      <c r="A446" s="1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1"/>
    </row>
    <row r="447" spans="1:31" ht="15">
      <c r="A447" s="1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1"/>
    </row>
    <row r="448" spans="1:31" ht="15">
      <c r="A448" s="1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1"/>
    </row>
    <row r="449" spans="1:31" ht="15">
      <c r="A449" s="1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1"/>
    </row>
    <row r="450" spans="1:31" ht="15">
      <c r="A450" s="1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1"/>
    </row>
    <row r="451" spans="1:31" ht="15">
      <c r="A451" s="1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1"/>
    </row>
    <row r="452" spans="1:31" ht="15">
      <c r="A452" s="1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1"/>
    </row>
    <row r="453" spans="1:31" ht="15">
      <c r="A453" s="1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1"/>
    </row>
    <row r="454" spans="1:31" ht="15">
      <c r="A454" s="1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1"/>
    </row>
    <row r="455" spans="1:31" ht="15">
      <c r="A455" s="1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1"/>
    </row>
    <row r="456" spans="1:31" ht="15">
      <c r="A456" s="1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1"/>
    </row>
    <row r="457" spans="1:31" ht="15">
      <c r="A457" s="1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1"/>
    </row>
    <row r="458" spans="1:31" ht="15"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1"/>
    </row>
    <row r="459" spans="1:31" ht="15"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1"/>
    </row>
    <row r="460" spans="1:31" ht="15"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1"/>
    </row>
    <row r="461" spans="1:31" ht="15"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1"/>
    </row>
    <row r="462" spans="1:31" ht="15"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1"/>
    </row>
    <row r="463" spans="1:31" ht="15">
      <c r="S463" s="55"/>
      <c r="T463" s="55"/>
      <c r="U463" s="55"/>
      <c r="V463" s="55"/>
      <c r="W463" s="55"/>
      <c r="X463" s="55"/>
      <c r="Y463" s="55"/>
      <c r="Z463" s="55"/>
      <c r="AA463" s="1"/>
      <c r="AB463" s="1"/>
      <c r="AC463" s="1"/>
      <c r="AD463" s="1"/>
      <c r="AE463" s="1"/>
    </row>
    <row r="464" spans="1:31" ht="15">
      <c r="S464" s="55"/>
      <c r="T464" s="55"/>
      <c r="U464" s="55"/>
      <c r="V464" s="55"/>
      <c r="W464" s="55"/>
      <c r="X464" s="55"/>
      <c r="Y464" s="55"/>
      <c r="Z464" s="55"/>
      <c r="AA464" s="1"/>
      <c r="AB464" s="1"/>
      <c r="AC464" s="1"/>
      <c r="AD464" s="1"/>
      <c r="AE464" s="1"/>
    </row>
    <row r="465" spans="19:31" ht="15">
      <c r="S465" s="55"/>
      <c r="T465" s="55"/>
      <c r="U465" s="55"/>
      <c r="V465" s="55"/>
      <c r="W465" s="55"/>
      <c r="X465" s="55"/>
      <c r="Y465" s="55"/>
      <c r="Z465" s="55"/>
      <c r="AA465" s="1"/>
      <c r="AB465" s="1"/>
      <c r="AC465" s="1"/>
      <c r="AD465" s="1"/>
      <c r="AE465" s="1"/>
    </row>
    <row r="466" spans="19:31" ht="15">
      <c r="S466" s="55"/>
      <c r="T466" s="55"/>
      <c r="U466" s="55"/>
      <c r="V466" s="55"/>
      <c r="W466" s="55"/>
      <c r="X466" s="55"/>
      <c r="Y466" s="55"/>
      <c r="Z466" s="55"/>
      <c r="AA466" s="1"/>
      <c r="AB466" s="1"/>
      <c r="AC466" s="1"/>
      <c r="AD466" s="1"/>
      <c r="AE466" s="1"/>
    </row>
    <row r="467" spans="19:31" ht="15">
      <c r="S467" s="55"/>
      <c r="T467" s="55"/>
      <c r="U467" s="55"/>
      <c r="V467" s="55"/>
      <c r="W467" s="55"/>
      <c r="X467" s="55"/>
      <c r="Y467" s="55"/>
      <c r="Z467" s="55"/>
      <c r="AA467" s="1"/>
      <c r="AB467" s="1"/>
      <c r="AC467" s="1"/>
      <c r="AD467" s="1"/>
      <c r="AE467" s="1"/>
    </row>
    <row r="468" spans="19:31" ht="15">
      <c r="S468" s="55"/>
      <c r="T468" s="55"/>
      <c r="U468" s="55"/>
      <c r="V468" s="55"/>
      <c r="W468" s="55"/>
      <c r="X468" s="55"/>
      <c r="Y468" s="55"/>
      <c r="Z468" s="55"/>
      <c r="AA468" s="1"/>
      <c r="AB468" s="1"/>
      <c r="AC468" s="1"/>
      <c r="AD468" s="1"/>
      <c r="AE468" s="1"/>
    </row>
    <row r="469" spans="19:31" ht="15">
      <c r="S469" s="55"/>
      <c r="T469" s="55"/>
      <c r="U469" s="55"/>
      <c r="V469" s="55"/>
      <c r="W469" s="55"/>
      <c r="X469" s="55"/>
      <c r="Y469" s="55"/>
      <c r="Z469" s="55"/>
      <c r="AA469" s="1"/>
      <c r="AB469" s="1"/>
      <c r="AC469" s="1"/>
      <c r="AD469" s="1"/>
      <c r="AE469" s="1"/>
    </row>
    <row r="470" spans="19:31" ht="15">
      <c r="S470" s="55"/>
      <c r="T470" s="55"/>
      <c r="U470" s="55"/>
      <c r="V470" s="55"/>
      <c r="W470" s="55"/>
      <c r="X470" s="55"/>
      <c r="Y470" s="55"/>
      <c r="Z470" s="55"/>
      <c r="AA470" s="1"/>
      <c r="AB470" s="1"/>
      <c r="AC470" s="1"/>
      <c r="AD470" s="1"/>
      <c r="AE470" s="1"/>
    </row>
    <row r="471" spans="19:31" ht="15">
      <c r="S471" s="55"/>
      <c r="T471" s="55"/>
      <c r="U471" s="55"/>
      <c r="V471" s="55"/>
      <c r="W471" s="55"/>
      <c r="X471" s="55"/>
      <c r="Y471" s="55"/>
      <c r="Z471" s="55"/>
      <c r="AA471" s="1"/>
      <c r="AB471" s="1"/>
      <c r="AC471" s="1"/>
      <c r="AD471" s="1"/>
      <c r="AE471" s="1"/>
    </row>
    <row r="472" spans="19:31" ht="15">
      <c r="S472" s="55"/>
      <c r="T472" s="58"/>
      <c r="U472" s="58"/>
      <c r="V472" s="55"/>
      <c r="W472" s="55"/>
      <c r="X472" s="55"/>
      <c r="Y472" s="55"/>
      <c r="Z472" s="55"/>
      <c r="AA472" s="1"/>
      <c r="AB472" s="1"/>
      <c r="AC472" s="1"/>
      <c r="AD472" s="1"/>
      <c r="AE472" s="1"/>
    </row>
    <row r="473" spans="19:31" ht="15">
      <c r="S473" s="55"/>
      <c r="T473" s="58"/>
      <c r="U473" s="58"/>
      <c r="V473" s="55"/>
      <c r="W473" s="55"/>
      <c r="X473" s="55"/>
      <c r="Y473" s="55"/>
      <c r="Z473" s="55"/>
      <c r="AA473" s="1"/>
      <c r="AB473" s="1"/>
      <c r="AC473" s="1"/>
      <c r="AD473" s="1"/>
      <c r="AE473" s="1"/>
    </row>
    <row r="474" spans="19:31" ht="15">
      <c r="S474" s="58"/>
      <c r="V474" s="55"/>
      <c r="W474" s="55"/>
      <c r="X474" s="55"/>
      <c r="Y474" s="55"/>
      <c r="Z474" s="55"/>
      <c r="AA474" s="1"/>
      <c r="AB474" s="1"/>
      <c r="AC474" s="1"/>
      <c r="AD474" s="1"/>
      <c r="AE474" s="1"/>
    </row>
    <row r="475" spans="19:31" ht="15">
      <c r="S475" s="58"/>
      <c r="V475" s="55"/>
      <c r="W475" s="55"/>
      <c r="X475" s="55"/>
      <c r="Y475" s="55"/>
      <c r="Z475" s="55"/>
      <c r="AA475" s="1"/>
      <c r="AB475" s="1"/>
      <c r="AC475" s="1"/>
      <c r="AD475" s="1"/>
      <c r="AE475" s="1"/>
    </row>
    <row r="476" spans="19:31" ht="15">
      <c r="V476" s="55"/>
      <c r="W476" s="55"/>
      <c r="X476" s="55"/>
      <c r="Y476" s="55"/>
      <c r="Z476" s="55"/>
      <c r="AA476" s="1"/>
      <c r="AB476" s="1"/>
      <c r="AC476" s="1"/>
      <c r="AD476" s="1"/>
      <c r="AE476" s="1"/>
    </row>
    <row r="477" spans="19:31" ht="15">
      <c r="V477" s="55"/>
      <c r="W477" s="55"/>
      <c r="X477" s="55"/>
      <c r="Y477" s="55"/>
      <c r="Z477" s="55"/>
      <c r="AA477" s="1"/>
      <c r="AB477" s="1"/>
      <c r="AC477" s="1"/>
      <c r="AD477" s="1"/>
      <c r="AE477" s="1"/>
    </row>
    <row r="478" spans="19:31" ht="15">
      <c r="V478" s="55"/>
      <c r="W478" s="55"/>
      <c r="X478" s="55"/>
      <c r="Y478" s="55"/>
      <c r="Z478" s="55"/>
      <c r="AA478" s="1"/>
      <c r="AB478" s="1"/>
      <c r="AC478" s="1"/>
      <c r="AD478" s="1"/>
      <c r="AE478" s="1"/>
    </row>
    <row r="479" spans="19:31" ht="15">
      <c r="V479" s="55"/>
      <c r="W479" s="55"/>
      <c r="X479" s="55"/>
      <c r="Y479" s="55"/>
      <c r="Z479" s="55"/>
      <c r="AA479" s="1"/>
      <c r="AB479" s="1"/>
      <c r="AC479" s="1"/>
      <c r="AD479" s="1"/>
      <c r="AE479" s="1"/>
    </row>
    <row r="480" spans="19:31" ht="15">
      <c r="V480" s="55"/>
      <c r="W480" s="55"/>
      <c r="X480" s="55"/>
      <c r="Y480" s="55"/>
      <c r="Z480" s="55"/>
      <c r="AA480" s="1"/>
      <c r="AB480" s="1"/>
      <c r="AC480" s="1"/>
      <c r="AD480" s="1"/>
      <c r="AE480" s="1"/>
    </row>
    <row r="481" spans="22:31" ht="15">
      <c r="V481" s="55"/>
      <c r="W481" s="55"/>
      <c r="X481" s="55"/>
      <c r="Y481" s="55"/>
      <c r="Z481" s="55"/>
      <c r="AA481" s="1"/>
      <c r="AB481" s="1"/>
      <c r="AC481" s="1"/>
      <c r="AD481" s="1"/>
      <c r="AE481" s="1"/>
    </row>
    <row r="482" spans="22:31" ht="15">
      <c r="V482" s="55"/>
      <c r="W482" s="55"/>
      <c r="X482" s="55"/>
      <c r="Y482" s="55"/>
      <c r="Z482" s="55"/>
      <c r="AA482" s="1"/>
      <c r="AB482" s="1"/>
      <c r="AC482" s="1"/>
      <c r="AD482" s="1"/>
      <c r="AE482" s="1"/>
    </row>
    <row r="483" spans="22:31" ht="15">
      <c r="V483" s="55"/>
      <c r="W483" s="55"/>
      <c r="X483" s="55"/>
      <c r="Y483" s="55"/>
      <c r="Z483" s="55"/>
      <c r="AA483" s="1"/>
      <c r="AB483" s="1"/>
      <c r="AC483" s="1"/>
      <c r="AD483" s="1"/>
      <c r="AE483" s="1"/>
    </row>
    <row r="484" spans="22:31" ht="15">
      <c r="V484" s="55"/>
      <c r="W484" s="55"/>
      <c r="X484" s="55"/>
      <c r="Y484" s="55"/>
      <c r="Z484" s="55"/>
      <c r="AA484" s="1"/>
      <c r="AB484" s="1"/>
      <c r="AC484" s="1"/>
      <c r="AD484" s="1"/>
      <c r="AE484" s="1"/>
    </row>
    <row r="485" spans="22:31" ht="15">
      <c r="V485" s="55"/>
      <c r="W485" s="55"/>
      <c r="X485" s="55"/>
      <c r="Y485" s="55"/>
      <c r="Z485" s="55"/>
      <c r="AA485" s="1"/>
      <c r="AB485" s="1"/>
      <c r="AC485" s="1"/>
      <c r="AD485" s="1"/>
      <c r="AE485" s="1"/>
    </row>
    <row r="486" spans="22:31" ht="15">
      <c r="V486" s="55"/>
      <c r="W486" s="55"/>
      <c r="X486" s="55"/>
      <c r="Y486" s="55"/>
      <c r="Z486" s="55"/>
      <c r="AA486" s="1"/>
      <c r="AB486" s="1"/>
      <c r="AC486" s="1"/>
      <c r="AD486" s="1"/>
      <c r="AE486" s="1"/>
    </row>
    <row r="487" spans="22:31" ht="15">
      <c r="V487" s="55"/>
      <c r="W487" s="55"/>
      <c r="X487" s="55"/>
      <c r="Y487" s="55"/>
      <c r="Z487" s="55"/>
      <c r="AA487" s="1"/>
      <c r="AB487" s="1"/>
      <c r="AC487" s="1"/>
      <c r="AD487" s="1"/>
      <c r="AE487" s="1"/>
    </row>
    <row r="488" spans="22:31" ht="15">
      <c r="V488" s="58"/>
      <c r="W488" s="58"/>
      <c r="X488" s="55"/>
      <c r="Y488" s="55"/>
      <c r="Z488" s="55"/>
      <c r="AA488" s="1"/>
      <c r="AB488" s="1"/>
      <c r="AC488" s="1"/>
      <c r="AD488" s="1"/>
      <c r="AE488" s="1"/>
    </row>
    <row r="489" spans="22:31" ht="15">
      <c r="V489" s="58"/>
      <c r="W489" s="58"/>
      <c r="X489" s="55"/>
      <c r="Y489" s="55"/>
      <c r="Z489" s="55"/>
      <c r="AA489" s="1"/>
      <c r="AB489" s="1"/>
      <c r="AC489" s="1"/>
      <c r="AD489" s="1"/>
      <c r="AE489" s="1"/>
    </row>
    <row r="490" spans="22:31" ht="15">
      <c r="X490" s="55"/>
      <c r="Y490" s="55"/>
      <c r="Z490" s="55"/>
      <c r="AA490" s="1"/>
      <c r="AB490" s="1"/>
      <c r="AC490" s="1"/>
      <c r="AD490" s="1"/>
      <c r="AE490" s="1"/>
    </row>
    <row r="491" spans="22:31" ht="15">
      <c r="X491" s="55"/>
      <c r="Y491" s="55"/>
      <c r="Z491" s="55"/>
      <c r="AA491" s="1"/>
      <c r="AB491" s="1"/>
      <c r="AC491" s="1"/>
      <c r="AD491" s="1"/>
      <c r="AE491" s="1"/>
    </row>
    <row r="492" spans="22:31" ht="15">
      <c r="X492" s="55"/>
      <c r="Y492" s="55"/>
      <c r="Z492" s="55"/>
      <c r="AA492" s="1"/>
      <c r="AB492" s="1"/>
      <c r="AC492" s="1"/>
      <c r="AD492" s="1"/>
      <c r="AE492" s="1"/>
    </row>
    <row r="493" spans="22:31" ht="15">
      <c r="X493" s="55"/>
      <c r="Y493" s="55"/>
      <c r="Z493" s="55"/>
      <c r="AA493" s="1"/>
      <c r="AB493" s="1"/>
      <c r="AC493" s="1"/>
      <c r="AD493" s="1"/>
      <c r="AE493" s="1"/>
    </row>
    <row r="494" spans="22:31" ht="15">
      <c r="X494" s="58"/>
      <c r="Y494" s="55"/>
      <c r="Z494" s="55"/>
      <c r="AA494" s="1"/>
      <c r="AB494" s="1"/>
      <c r="AC494" s="1"/>
      <c r="AD494" s="1"/>
      <c r="AE494" s="1"/>
    </row>
    <row r="495" spans="22:31" ht="15">
      <c r="X495" s="58"/>
      <c r="Y495" s="58"/>
      <c r="Z495" s="55"/>
      <c r="AA495" s="1"/>
      <c r="AB495" s="1"/>
      <c r="AC495" s="1"/>
      <c r="AD495" s="1"/>
      <c r="AE495" s="1"/>
    </row>
    <row r="496" spans="22:31" ht="15">
      <c r="Y496" s="58"/>
      <c r="Z496" s="58"/>
      <c r="AE496" s="1"/>
    </row>
    <row r="497" spans="26:31" ht="15">
      <c r="Z497" s="58"/>
      <c r="AE497" s="1"/>
    </row>
    <row r="498" spans="26:31" ht="15">
      <c r="AE498" s="1"/>
    </row>
  </sheetData>
  <mergeCells count="7">
    <mergeCell ref="A61:D61"/>
    <mergeCell ref="A2:F2"/>
    <mergeCell ref="A4:F4"/>
    <mergeCell ref="E5:F5"/>
    <mergeCell ref="A6:A7"/>
    <mergeCell ref="B6:B7"/>
    <mergeCell ref="C6:F6"/>
  </mergeCells>
  <hyperlinks>
    <hyperlink ref="E5" r:id="rId1" display="http://www.arquitecturab2.com.ar/"/>
  </hyperlinks>
  <pageMargins left="0.11811023622047245" right="0" top="0.55118110236220474" bottom="0.55118110236220474" header="0.31496062992125984" footer="0.31496062992125984"/>
  <pageSetup paperSize="9" scale="7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DE OBRAS</dc:creator>
  <cp:lastModifiedBy>MonicaClaudio</cp:lastModifiedBy>
  <cp:lastPrinted>2026-05-15T18:26:07Z</cp:lastPrinted>
  <dcterms:created xsi:type="dcterms:W3CDTF">2023-01-06T17:06:54Z</dcterms:created>
  <dcterms:modified xsi:type="dcterms:W3CDTF">2026-05-25T18:03:53Z</dcterms:modified>
</cp:coreProperties>
</file>